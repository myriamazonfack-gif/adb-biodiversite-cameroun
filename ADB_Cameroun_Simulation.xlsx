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. Publiques" sheetId="1" state="visible" r:id="rId3"/>
    <sheet name="ONG OSC" sheetId="2" state="visible" r:id="rId4"/>
    <sheet name="Secteur Prive" sheetId="3" state="visible" r:id="rId5"/>
    <sheet name="PTF" sheetId="4" state="visible" r:id="rId6"/>
    <sheet name="PowerBI_Data" sheetId="5" state="visible" r:id="rId7"/>
    <sheet name="Donnees Macro" sheetId="6" state="visible" r:id="rId8"/>
    <sheet name="Guide Utilis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<sst xmlns="http://schemas.openxmlformats.org/spreadsheetml/2006/main" count="1519" uniqueCount="169">
  <si>
    <t xml:space="preserve">ANALYSE DES DÉPENSES PUBLIQUES POUR LA BIODIVERSITÉ — CAMEROUN (Millions FCFA)</t>
  </si>
  <si>
    <t xml:space="preserve">Ministère</t>
  </si>
  <si>
    <t xml:space="preserve">Programme / Activité</t>
  </si>
  <si>
    <t xml:space="preserve">Catégorie BIOFIN</t>
  </si>
  <si>
    <t xml:space="preserve">Coefficient (%)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</si>
  <si>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</si>
  <si>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</si>
  <si>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</si>
  <si>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</si>
  <si>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</si>
  <si>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Total BD Période</t>
  </si>
  <si>
    <t xml:space="preserve">Commentaires</t>
  </si>
  <si>
    <t xml:space="preserve">Dép. totale</t>
  </si>
  <si>
    <t xml:space="preserve">Dép. BD</t>
  </si>
  <si>
    <t xml:space="preserve">MINEPDED</t>
  </si>
  <si>
    <t xml:space="preserve">Gestion des aires protégées</t>
  </si>
  <si>
    <t xml:space="preserve">7. Zones protégées et conservation</t>
  </si>
  <si>
    <t xml:space="preserve">Lutte contre les pollutions</t>
  </si>
  <si>
    <t xml:space="preserve">6. Gestion de la pollution</t>
  </si>
  <si>
    <t xml:space="preserve">Sensibilisation environnementale</t>
  </si>
  <si>
    <t xml:space="preserve">2. Sensibilisation et connaissances BD</t>
  </si>
  <si>
    <t xml:space="preserve">Stratégie nationale biodiversité</t>
  </si>
  <si>
    <t xml:space="preserve">5. Planification et financement BD</t>
  </si>
  <si>
    <t xml:space="preserve">Protocole de Nagoya - ABS</t>
  </si>
  <si>
    <t xml:space="preserve">1. Accès et partage des avantages (ABS)</t>
  </si>
  <si>
    <t xml:space="preserve">Biosécurité et OGM</t>
  </si>
  <si>
    <t xml:space="preserve">3. Biosécurité</t>
  </si>
  <si>
    <t xml:space="preserve">MINFOF</t>
  </si>
  <si>
    <t xml:space="preserve">Gestion forêts communautaires</t>
  </si>
  <si>
    <t xml:space="preserve">9. Utilisation durable</t>
  </si>
  <si>
    <t xml:space="preserve">Reboisement national</t>
  </si>
  <si>
    <t xml:space="preserve">8. Restauration</t>
  </si>
  <si>
    <t xml:space="preserve">Contrôle et surveillance forêts</t>
  </si>
  <si>
    <t xml:space="preserve">Inventaire faunique national</t>
  </si>
  <si>
    <t xml:space="preserve">Certification forestière durable</t>
  </si>
  <si>
    <t xml:space="preserve">4. Économie verte</t>
  </si>
  <si>
    <t xml:space="preserve">MINADER</t>
  </si>
  <si>
    <t xml:space="preserve">Programme agro-sylvo-pastoral</t>
  </si>
  <si>
    <t xml:space="preserve">Agroforesterie et biodiversité</t>
  </si>
  <si>
    <t xml:space="preserve">Lutte contre espèces envahissantes</t>
  </si>
  <si>
    <t xml:space="preserve">Écotourisme agricole</t>
  </si>
  <si>
    <t xml:space="preserve">MINRESI</t>
  </si>
  <si>
    <t xml:space="preserve">Recherche sur la biodiversité</t>
  </si>
  <si>
    <t xml:space="preserve">Inventaires écosystèmes marins</t>
  </si>
  <si>
    <t xml:space="preserve">MINHDU</t>
  </si>
  <si>
    <t xml:space="preserve">Reboisement urbain</t>
  </si>
  <si>
    <t xml:space="preserve">Gestion espaces verts urbains</t>
  </si>
  <si>
    <t xml:space="preserve">MINEE</t>
  </si>
  <si>
    <t xml:space="preserve">Énergie renouvelable et BD</t>
  </si>
  <si>
    <t xml:space="preserve">Évaluation impact environnemental</t>
  </si>
  <si>
    <t xml:space="preserve">TOTAL DÉPENSES PUBLIQUES BD</t>
  </si>
  <si>
    <t xml:space="preserve">ANALYSE DES DÉPENSES ONG / OSC POUR LA BIODIVERSITÉ — CAMEROUN (Millions FCFA)</t>
  </si>
  <si>
    <t xml:space="preserve">Organisation</t>
  </si>
  <si>
    <t xml:space="preserve">WWF Cameroun</t>
  </si>
  <si>
    <t xml:space="preserve">Conservation forêts du Bassin Congo</t>
  </si>
  <si>
    <t xml:space="preserve">Programme espèces menacées</t>
  </si>
  <si>
    <t xml:space="preserve">WCS Cameroun</t>
  </si>
  <si>
    <t xml:space="preserve">Surveillance faune sauvage</t>
  </si>
  <si>
    <t xml:space="preserve">Lutte anti-braconnage communautaire</t>
  </si>
  <si>
    <t xml:space="preserve">UICN Cameroun</t>
  </si>
  <si>
    <t xml:space="preserve">Liste rouge espèces nationales</t>
  </si>
  <si>
    <t xml:space="preserve">Restauration mangroves côtières</t>
  </si>
  <si>
    <t xml:space="preserve">Réseau CAMCO</t>
  </si>
  <si>
    <t xml:space="preserve">Éducation environnementale écoles</t>
  </si>
  <si>
    <t xml:space="preserve">Surveillance communautaire forêts</t>
  </si>
  <si>
    <t xml:space="preserve">CED</t>
  </si>
  <si>
    <t xml:space="preserve">Droits des communautés et ABS</t>
  </si>
  <si>
    <t xml:space="preserve">Plaidoyer politique biodiversité</t>
  </si>
  <si>
    <t xml:space="preserve">Nature Cameroun</t>
  </si>
  <si>
    <t xml:space="preserve">Reboisement Adamaoua</t>
  </si>
  <si>
    <t xml:space="preserve">Agroécologie et biodiversité</t>
  </si>
  <si>
    <t xml:space="preserve">FODER</t>
  </si>
  <si>
    <t xml:space="preserve">Gouvernance forestière durable</t>
  </si>
  <si>
    <t xml:space="preserve">Certification FLEGT communautaire</t>
  </si>
  <si>
    <t xml:space="preserve">GreenCam</t>
  </si>
  <si>
    <t xml:space="preserve">Corridors biologiques</t>
  </si>
  <si>
    <t xml:space="preserve">TOTAL ONG / OSC BD</t>
  </si>
  <si>
    <t xml:space="preserve">ANALYSE DES DÉPENSES SECTEUR PRIVÉ POUR LA BIODIVERSITÉ — CAMEROUN (Millions FCFA)</t>
  </si>
  <si>
    <t xml:space="preserve">Entreprise</t>
  </si>
  <si>
    <t xml:space="preserve">Rougier Afrique</t>
  </si>
  <si>
    <t xml:space="preserve">Certification FSC exploitation forestière</t>
  </si>
  <si>
    <t xml:space="preserve">Reboisement compensatoire</t>
  </si>
  <si>
    <t xml:space="preserve">Société Forestière</t>
  </si>
  <si>
    <t xml:space="preserve">Plan de gestion durable concessions</t>
  </si>
  <si>
    <t xml:space="preserve">Camrail</t>
  </si>
  <si>
    <t xml:space="preserve">Corridors fauniques voie ferrée</t>
  </si>
  <si>
    <t xml:space="preserve">SODECOTON</t>
  </si>
  <si>
    <t xml:space="preserve">Bonnes pratiques agricoles - pollinisateurs</t>
  </si>
  <si>
    <t xml:space="preserve">CDC (Cameroon Dev.)</t>
  </si>
  <si>
    <t xml:space="preserve">Agroforesterie palme-cacao</t>
  </si>
  <si>
    <t xml:space="preserve">Hévéa du Cameroun</t>
  </si>
  <si>
    <t xml:space="preserve">Certification RSPO biodiversité</t>
  </si>
  <si>
    <t xml:space="preserve">Labogem SA</t>
  </si>
  <si>
    <t xml:space="preserve">Traitement eaux usées industrielles</t>
  </si>
  <si>
    <t xml:space="preserve">Total Énergies Cam.</t>
  </si>
  <si>
    <t xml:space="preserve">Programme biodiversité pipeline</t>
  </si>
  <si>
    <t xml:space="preserve">Actis Brasseries</t>
  </si>
  <si>
    <t xml:space="preserve">Gestion déchets - protection rivières</t>
  </si>
  <si>
    <t xml:space="preserve">TOTAL SECTEUR PRIVÉ BD</t>
  </si>
  <si>
    <t xml:space="preserve">ANALYSE DES DÉPENSES PTF POUR LA BIODIVERSITÉ — CAMEROUN (Millions FCFA)</t>
  </si>
  <si>
    <t xml:space="preserve">Partenaire (PTF)</t>
  </si>
  <si>
    <t xml:space="preserve">Programme / Projet</t>
  </si>
  <si>
    <t xml:space="preserve">Banque Mondiale</t>
  </si>
  <si>
    <t xml:space="preserve">REDD+ Forêts Bassin Congo</t>
  </si>
  <si>
    <t xml:space="preserve">Projet biodiversité zones humides</t>
  </si>
  <si>
    <t xml:space="preserve">GEF / PNUE</t>
  </si>
  <si>
    <t xml:space="preserve">Corridors biologiques transfrontaliers</t>
  </si>
  <si>
    <t xml:space="preserve">Stratégie nationale BD (SPANB)</t>
  </si>
  <si>
    <t xml:space="preserve">AFD (France)</t>
  </si>
  <si>
    <t xml:space="preserve">Gestion durable forêts tropicales</t>
  </si>
  <si>
    <t xml:space="preserve">Écotourisme et ABS communautaire</t>
  </si>
  <si>
    <t xml:space="preserve">UE / FLEGT</t>
  </si>
  <si>
    <t xml:space="preserve">Gouvernance forêts - APV FLEGT</t>
  </si>
  <si>
    <t xml:space="preserve">Capacités institutions forêts</t>
  </si>
  <si>
    <t xml:space="preserve">USAID</t>
  </si>
  <si>
    <t xml:space="preserve">Conservation Tridom (Cameroun-Gabon-RCA)</t>
  </si>
  <si>
    <t xml:space="preserve">Recherche gouvernance environnementale</t>
  </si>
  <si>
    <t xml:space="preserve">KfW (Allemagne)</t>
  </si>
  <si>
    <t xml:space="preserve">Appui au MINFOF - parcs nationaux</t>
  </si>
  <si>
    <t xml:space="preserve">Reboisement climat-biodiversité</t>
  </si>
  <si>
    <t xml:space="preserve">PNUD</t>
  </si>
  <si>
    <t xml:space="preserve">Renforcement capacités MINEPDED</t>
  </si>
  <si>
    <t xml:space="preserve">Zones humides et services éco-systémiques</t>
  </si>
  <si>
    <t xml:space="preserve">TOTAL PTF BD</t>
  </si>
  <si>
    <t xml:space="preserve">TABLE DE DONNÉES PLATE — À IMPORTER DIRECTEMENT DANS POWER BI</t>
  </si>
  <si>
    <t xml:space="preserve">Secteur</t>
  </si>
  <si>
    <t xml:space="preserve">Institution</t>
  </si>
  <si>
    <t xml:space="preserve">Programme</t>
  </si>
  <si>
    <t xml:space="preserve">Année</t>
  </si>
  <si>
    <t xml:space="preserve">Dépense Totale (MFCFA)</t>
  </si>
  <si>
    <t xml:space="preserve">Dépense BD (MFCFA)</t>
  </si>
  <si>
    <t xml:space="preserve">Public</t>
  </si>
  <si>
    <t xml:space="preserve">ONG / OSC</t>
  </si>
  <si>
    <t xml:space="preserve">Secteur Privé</t>
  </si>
  <si>
    <t xml:space="preserve">PTF</t>
  </si>
  <si>
    <t xml:space="preserve">DONNÉES MACRO-ÉCONOMIQUES — CAMEROUN (Source : INS Cameroun / FMI)</t>
  </si>
  <si>
    <t xml:space="preserve">Indicateur</t>
  </si>
  <si>
    <t xml:space="preserve">Source</t>
  </si>
  <si>
    <t xml:space="preserve">PIB (Milliards FCFA)</t>
  </si>
  <si>
    <t xml:space="preserve">INS Cameroun</t>
  </si>
  <si>
    <t xml:space="preserve">Croissance du PIB (%)</t>
  </si>
  <si>
    <t xml:space="preserve">FMI WEO 2024</t>
  </si>
  <si>
    <t xml:space="preserve">Budget de l'État (Milliards FCFA)</t>
  </si>
  <si>
    <t xml:space="preserve">MINFI Cameroun</t>
  </si>
  <si>
    <t xml:space="preserve">Taux d'inflation (%)</t>
  </si>
  <si>
    <t xml:space="preserve">PIB/habitant (USD)</t>
  </si>
  <si>
    <t xml:space="preserve">Dette publique/PIB (%)</t>
  </si>
  <si>
    <t xml:space="preserve">FMI</t>
  </si>
  <si>
    <t xml:space="preserve">Dépenses environnement/PIB (%)</t>
  </si>
  <si>
    <t xml:space="preserve">Estimé BIOFIN</t>
  </si>
  <si>
    <t xml:space="preserve">📋 GUIDE D'UTILISATION — ADB CAMEROUN</t>
  </si>
  <si>
    <t xml:space="preserve">ÉTAPE 1</t>
  </si>
  <si>
    <t xml:space="preserve">REMPLIR LES 4 FEUILLES DE DONNÉES</t>
  </si>
  <si>
    <t xml:space="preserve">Saisissez vos dépenses réelles dans : D. Publiques / ONG OSC / Secteur Prive / PTF</t>
  </si>
  <si>
    <t xml:space="preserve">ÉTAPE 2</t>
  </si>
  <si>
    <t xml:space="preserve">VÉRIFIER LES COEFFICIENTS</t>
  </si>
  <si>
    <t xml:space="preserve">Chaque ligne a un coefficient (%) = part de la dépense réellement consacrée à la biodiversité. Ex: 100% = dépense 100% BD, 50% = moitié BD</t>
  </si>
  <si>
    <t xml:space="preserve">ÉTAPE 3</t>
  </si>
  <si>
    <t xml:space="preserve">IMPORTER DANS POWER BI</t>
  </si>
  <si>
    <t xml:space="preserve">Utilisez la feuille 'PowerBI_Data' — c'est une table plate prête à charger directement. Allez dans Power BI &gt; Obtenir des données &gt; Excel &gt; cochez PowerBI_Data</t>
  </si>
  <si>
    <t xml:space="preserve">ÉTAPE 4</t>
  </si>
  <si>
    <t xml:space="preserve">CONSTRUIRE LE TABLEAU DE BORD</t>
  </si>
  <si>
    <t xml:space="preserve">Dans Power BI : créez un graphique en barres (Catégorie BIOFIN vs Dépense BD), un camembert par secteur, une courbe d'évolution par année</t>
  </si>
  <si>
    <t xml:space="preserve">NOTE</t>
  </si>
  <si>
    <t xml:space="preserve">DONNÉES FICTIVES</t>
  </si>
  <si>
    <t xml:space="preserve">Ce fichier contient des données simulées pour s'entraîner. Remplacez-les par vos vraies données en gardant la même structure de colonnes.</t>
  </si>
  <si>
    <t xml:space="preserve">COULEURS</t>
  </si>
  <si>
    <t xml:space="preserve">CODE COULEUR DES FEUILLES</t>
  </si>
  <si>
    <t xml:space="preserve">Vert = Public | Bleu = ONG/OSC | Violet = Secteur Privé | Rouge/Orange = PTF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</si>
</sst>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E3F2FD"/>
      </patternFill>
    </fill>
    <fill>
      <patternFill patternType="solid">
        <fgColor rgb="FFFFFFFF"/>
        <bgColor rgb="FFF5F5F5"/>
      </patternFill>
    </fill>
    <fill>
      <patternFill patternType="solid">
        <fgColor rgb="FFF9A825"/>
        <bgColor rgb="FFFFCC00"/>
      </patternFill>
    </fill>
    <fill>
      <patternFill patternType="solid">
        <fgColor rgb="FF1A237E"/>
        <bgColor rgb="FF283593"/>
      </patternFill>
    </fill>
    <fill>
      <patternFill patternType="solid">
        <fgColor rgb="FF283593"/>
        <bgColor rgb="FF1A237E"/>
      </patternFill>
    </fill>
    <fill>
      <patternFill patternType="solid">
        <fgColor rgb="FFE3F2FD"/>
        <bgColor rgb="FFE8F5E9"/>
      </patternFill>
    </fill>
    <fill>
      <patternFill patternType="solid">
        <fgColor rgb="FF4A148C"/>
        <bgColor rgb="FF6A1B9A"/>
      </patternFill>
    </fill>
    <fill>
      <patternFill patternType="solid">
        <fgColor rgb="FF6A1B9A"/>
        <bgColor rgb="FF4A148C"/>
      </patternFill>
    </fill>
    <fill>
      <patternFill patternType="solid">
        <fgColor rgb="FFF3E5F5"/>
        <bgColor rgb="FFFBE9E7"/>
      </patternFill>
    </fill>
    <fill>
      <patternFill patternType="solid">
        <fgColor rgb="FFBF360C"/>
        <bgColor rgb="FFD84315"/>
      </patternFill>
    </fill>
    <fill>
      <patternFill patternType="solid">
        <fgColor rgb="FFD84315"/>
        <bgColor rgb="FFBF360C"/>
      </patternFill>
    </fill>
    <fill>
      <patternFill patternType="solid">
        <fgColor rgb="FFFBE9E7"/>
        <bgColor rgb="FFF3E5F5"/>
      </patternFill>
    </fill>
    <fill>
      <patternFill patternType="solid">
        <fgColor rgb="FF37474F"/>
        <bgColor rgb="FF283593"/>
      </patternFill>
    </fill>
    <fill>
      <patternFill patternType="solid">
        <fgColor rgb="FF546E7A"/>
        <bgColor rgb="FF808080"/>
      </patternFill>
    </fill>
    <fill>
      <patternFill patternType="solid">
        <fgColor rgb="FFF5F5F5"/>
        <bgColor rgb="FFE8F5E9"/>
      </patternFill>
    </fill>
    <fill>
      <patternFill patternType="solid">
        <fgColor rgb="FFC8E6C9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1B9A"/>
      <rgbColor rgb="FF008080"/>
      <rgbColor rgb="FFBDBDBD"/>
      <rgbColor rgb="FF808080"/>
      <rgbColor rgb="FF9999FF"/>
      <rgbColor rgb="FF993366"/>
      <rgbColor rgb="FFF5F5F5"/>
      <rgbColor rgb="FFE3F2FD"/>
      <rgbColor rgb="FF4A148C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D84315"/>
      <rgbColor rgb="FF546E7A"/>
      <rgbColor rgb="FF969696"/>
      <rgbColor rgb="FF1A237E"/>
      <rgbColor rgb="FF2E7D32"/>
      <rgbColor rgb="FF003300"/>
      <rgbColor rgb="FF333300"/>
      <rgbColor rgb="FFBF360C"/>
      <rgbColor rgb="FF993366"/>
      <rgbColor rgb="FF283593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16" min="5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 t="s">
        <v>6</v>
      </c>
      <c r="H2" s="2"/>
      <c r="I2" s="2" t="s">
        <v>7</v>
      </c>
      <c r="J2" s="2"/>
      <c r="K2" s="2" t="s">
        <v>8</v>
      </c>
      <c r="L2" s="2"/>
      <c r="M2" s="2" t="s">
        <v>9</v>
      </c>
      <c r="N2" s="2"/>
      <c r="O2" s="2" t="s">
        <v>10</v>
      </c>
      <c r="P2" s="2" t="s">
        <v>11</v>
      </c>
    </row>
    <row r="3" customFormat="false" ht="21.75" hidden="false" customHeight="true" outlineLevel="0" collapsed="false">
      <c r="A3" s="2"/>
      <c r="B3" s="2"/>
      <c r="C3" s="2"/>
      <c r="D3" s="2"/>
      <c r="E3" s="2" t="s">
        <v>12</v>
      </c>
      <c r="F3" s="2" t="s">
        <v>13</v>
      </c>
      <c r="G3" s="2" t="s">
        <v>12</v>
      </c>
      <c r="H3" s="2" t="s">
        <v>13</v>
      </c>
      <c r="I3" s="2" t="s">
        <v>12</v>
      </c>
      <c r="J3" s="2" t="s">
        <v>13</v>
      </c>
      <c r="K3" s="2" t="s">
        <v>12</v>
      </c>
      <c r="L3" s="2" t="s">
        <v>13</v>
      </c>
      <c r="M3" s="2" t="s">
        <v>12</v>
      </c>
      <c r="N3" s="2" t="s">
        <v>13</v>
      </c>
      <c r="O3" s="2"/>
      <c r="P3" s="2"/>
    </row>
    <row r="4" customFormat="false" ht="18" hidden="false" customHeight="true" outlineLevel="0" collapsed="false">
      <c r="A4" s="3" t="s">
        <v>14</v>
      </c>
      <c r="B4" s="3" t="s">
        <v>15</v>
      </c>
      <c r="C4" s="3" t="s">
        <v>16</v>
      </c>
      <c r="D4" s="4" t="n">
        <v>1</v>
      </c>
      <c r="E4" s="4" t="n">
        <v>850</v>
      </c>
      <c r="F4" s="4" t="n">
        <f aca="false">E4*D4</f>
        <v>850</v>
      </c>
      <c r="G4" s="4" t="n">
        <v>920</v>
      </c>
      <c r="H4" s="4" t="n">
        <f aca="false">G4*D4</f>
        <v>920</v>
      </c>
      <c r="I4" s="4" t="n">
        <v>980</v>
      </c>
      <c r="J4" s="4" t="n">
        <f aca="false">I4*D4</f>
        <v>980</v>
      </c>
      <c r="K4" s="4" t="n">
        <v>1050</v>
      </c>
      <c r="L4" s="4" t="n">
        <f aca="false">K4*D4</f>
        <v>1050</v>
      </c>
      <c r="M4" s="4" t="n">
        <v>1120</v>
      </c>
      <c r="N4" s="4" t="n">
        <f aca="false">M4*D4</f>
        <v>1120</v>
      </c>
      <c r="O4" s="4" t="n">
        <f aca="false">SUM(F4,H4,J4,L4,N4)</f>
        <v>4920</v>
      </c>
      <c r="P4" s="4"/>
    </row>
    <row r="5" customFormat="false" ht="18" hidden="false" customHeight="true" outlineLevel="0" collapsed="false">
      <c r="A5" s="5" t="s">
        <v>14</v>
      </c>
      <c r="B5" s="5" t="s">
        <v>17</v>
      </c>
      <c r="C5" s="5" t="s">
        <v>18</v>
      </c>
      <c r="D5" s="6" t="n">
        <v>0.9</v>
      </c>
      <c r="E5" s="6" t="n">
        <v>320</v>
      </c>
      <c r="F5" s="6" t="n">
        <f aca="false">E5*D5</f>
        <v>288</v>
      </c>
      <c r="G5" s="6" t="n">
        <v>350</v>
      </c>
      <c r="H5" s="6" t="n">
        <f aca="false">G5*D5</f>
        <v>315</v>
      </c>
      <c r="I5" s="6" t="n">
        <v>380</v>
      </c>
      <c r="J5" s="6" t="n">
        <f aca="false">I5*D5</f>
        <v>342</v>
      </c>
      <c r="K5" s="6" t="n">
        <v>410</v>
      </c>
      <c r="L5" s="6" t="n">
        <f aca="false">K5*D5</f>
        <v>369</v>
      </c>
      <c r="M5" s="6" t="n">
        <v>450</v>
      </c>
      <c r="N5" s="6" t="n">
        <f aca="false">M5*D5</f>
        <v>405</v>
      </c>
      <c r="O5" s="6" t="n">
        <f aca="false">SUM(F5,H5,J5,L5,N5)</f>
        <v>1719</v>
      </c>
      <c r="P5" s="6"/>
    </row>
    <row r="6" customFormat="false" ht="18" hidden="false" customHeight="true" outlineLevel="0" collapsed="false">
      <c r="A6" s="3" t="s">
        <v>14</v>
      </c>
      <c r="B6" s="3" t="s">
        <v>19</v>
      </c>
      <c r="C6" s="3" t="s">
        <v>20</v>
      </c>
      <c r="D6" s="4" t="n">
        <v>0.8</v>
      </c>
      <c r="E6" s="4" t="n">
        <v>180</v>
      </c>
      <c r="F6" s="4" t="n">
        <f aca="false">E6*D6</f>
        <v>144</v>
      </c>
      <c r="G6" s="4" t="n">
        <v>200</v>
      </c>
      <c r="H6" s="4" t="n">
        <f aca="false">G6*D6</f>
        <v>160</v>
      </c>
      <c r="I6" s="4" t="n">
        <v>220</v>
      </c>
      <c r="J6" s="4" t="n">
        <f aca="false">I6*D6</f>
        <v>176</v>
      </c>
      <c r="K6" s="4" t="n">
        <v>240</v>
      </c>
      <c r="L6" s="4" t="n">
        <f aca="false">K6*D6</f>
        <v>192</v>
      </c>
      <c r="M6" s="4" t="n">
        <v>260</v>
      </c>
      <c r="N6" s="4" t="n">
        <f aca="false">M6*D6</f>
        <v>208</v>
      </c>
      <c r="O6" s="4" t="n">
        <f aca="false">SUM(F6,H6,J6,L6,N6)</f>
        <v>880</v>
      </c>
      <c r="P6" s="4"/>
    </row>
    <row r="7" customFormat="false" ht="18" hidden="false" customHeight="true" outlineLevel="0" collapsed="false">
      <c r="A7" s="5" t="s">
        <v>14</v>
      </c>
      <c r="B7" s="5" t="s">
        <v>21</v>
      </c>
      <c r="C7" s="5" t="s">
        <v>22</v>
      </c>
      <c r="D7" s="6" t="n">
        <v>1</v>
      </c>
      <c r="E7" s="6" t="n">
        <v>120</v>
      </c>
      <c r="F7" s="6" t="n">
        <f aca="false">E7*D7</f>
        <v>120</v>
      </c>
      <c r="G7" s="6" t="n">
        <v>140</v>
      </c>
      <c r="H7" s="6" t="n">
        <f aca="false">G7*D7</f>
        <v>140</v>
      </c>
      <c r="I7" s="6" t="n">
        <v>160</v>
      </c>
      <c r="J7" s="6" t="n">
        <f aca="false">I7*D7</f>
        <v>160</v>
      </c>
      <c r="K7" s="6" t="n">
        <v>180</v>
      </c>
      <c r="L7" s="6" t="n">
        <f aca="false">K7*D7</f>
        <v>180</v>
      </c>
      <c r="M7" s="6" t="n">
        <v>200</v>
      </c>
      <c r="N7" s="6" t="n">
        <f aca="false">M7*D7</f>
        <v>200</v>
      </c>
      <c r="O7" s="6" t="n">
        <f aca="false">SUM(F7,H7,J7,L7,N7)</f>
        <v>800</v>
      </c>
      <c r="P7" s="6"/>
    </row>
    <row r="8" customFormat="false" ht="18" hidden="false" customHeight="true" outlineLevel="0" collapsed="false">
      <c r="A8" s="3" t="s">
        <v>14</v>
      </c>
      <c r="B8" s="3" t="s">
        <v>23</v>
      </c>
      <c r="C8" s="3" t="s">
        <v>24</v>
      </c>
      <c r="D8" s="4" t="n">
        <v>1</v>
      </c>
      <c r="E8" s="4" t="n">
        <v>60</v>
      </c>
      <c r="F8" s="4" t="n">
        <f aca="false">E8*D8</f>
        <v>60</v>
      </c>
      <c r="G8" s="4" t="n">
        <v>75</v>
      </c>
      <c r="H8" s="4" t="n">
        <f aca="false">G8*D8</f>
        <v>75</v>
      </c>
      <c r="I8" s="4" t="n">
        <v>90</v>
      </c>
      <c r="J8" s="4" t="n">
        <f aca="false">I8*D8</f>
        <v>90</v>
      </c>
      <c r="K8" s="4" t="n">
        <v>105</v>
      </c>
      <c r="L8" s="4" t="n">
        <f aca="false">K8*D8</f>
        <v>105</v>
      </c>
      <c r="M8" s="4" t="n">
        <v>120</v>
      </c>
      <c r="N8" s="4" t="n">
        <f aca="false">M8*D8</f>
        <v>120</v>
      </c>
      <c r="O8" s="4" t="n">
        <f aca="false">SUM(F8,H8,J8,L8,N8)</f>
        <v>450</v>
      </c>
      <c r="P8" s="4"/>
    </row>
    <row r="9" customFormat="false" ht="18" hidden="false" customHeight="true" outlineLevel="0" collapsed="false">
      <c r="A9" s="5" t="s">
        <v>14</v>
      </c>
      <c r="B9" s="5" t="s">
        <v>25</v>
      </c>
      <c r="C9" s="5" t="s">
        <v>26</v>
      </c>
      <c r="D9" s="6" t="n">
        <v>1</v>
      </c>
      <c r="E9" s="6" t="n">
        <v>45</v>
      </c>
      <c r="F9" s="6" t="n">
        <f aca="false">E9*D9</f>
        <v>45</v>
      </c>
      <c r="G9" s="6" t="n">
        <v>55</v>
      </c>
      <c r="H9" s="6" t="n">
        <f aca="false">G9*D9</f>
        <v>55</v>
      </c>
      <c r="I9" s="6" t="n">
        <v>65</v>
      </c>
      <c r="J9" s="6" t="n">
        <f aca="false">I9*D9</f>
        <v>65</v>
      </c>
      <c r="K9" s="6" t="n">
        <v>75</v>
      </c>
      <c r="L9" s="6" t="n">
        <f aca="false">K9*D9</f>
        <v>75</v>
      </c>
      <c r="M9" s="6" t="n">
        <v>85</v>
      </c>
      <c r="N9" s="6" t="n">
        <f aca="false">M9*D9</f>
        <v>85</v>
      </c>
      <c r="O9" s="6" t="n">
        <f aca="false">SUM(F9,H9,J9,L9,N9)</f>
        <v>325</v>
      </c>
      <c r="P9" s="6"/>
    </row>
    <row r="10" customFormat="false" ht="18" hidden="false" customHeight="true" outlineLevel="0" collapsed="false">
      <c r="A10" s="3" t="s">
        <v>27</v>
      </c>
      <c r="B10" s="3" t="s">
        <v>28</v>
      </c>
      <c r="C10" s="3" t="s">
        <v>29</v>
      </c>
      <c r="D10" s="4" t="n">
        <v>0.85</v>
      </c>
      <c r="E10" s="4" t="n">
        <v>620</v>
      </c>
      <c r="F10" s="4" t="n">
        <f aca="false">E10*D10</f>
        <v>527</v>
      </c>
      <c r="G10" s="4" t="n">
        <v>680</v>
      </c>
      <c r="H10" s="4" t="n">
        <f aca="false">G10*D10</f>
        <v>578</v>
      </c>
      <c r="I10" s="4" t="n">
        <v>740</v>
      </c>
      <c r="J10" s="4" t="n">
        <f aca="false">I10*D10</f>
        <v>629</v>
      </c>
      <c r="K10" s="4" t="n">
        <v>800</v>
      </c>
      <c r="L10" s="4" t="n">
        <f aca="false">K10*D10</f>
        <v>680</v>
      </c>
      <c r="M10" s="4" t="n">
        <v>860</v>
      </c>
      <c r="N10" s="4" t="n">
        <f aca="false">M10*D10</f>
        <v>731</v>
      </c>
      <c r="O10" s="4" t="n">
        <f aca="false">SUM(F10,H10,J10,L10,N10)</f>
        <v>3145</v>
      </c>
      <c r="P10" s="4"/>
    </row>
    <row r="11" customFormat="false" ht="18" hidden="false" customHeight="true" outlineLevel="0" collapsed="false">
      <c r="A11" s="5" t="s">
        <v>27</v>
      </c>
      <c r="B11" s="5" t="s">
        <v>30</v>
      </c>
      <c r="C11" s="5" t="s">
        <v>31</v>
      </c>
      <c r="D11" s="6" t="n">
        <v>1</v>
      </c>
      <c r="E11" s="6" t="n">
        <v>430</v>
      </c>
      <c r="F11" s="6" t="n">
        <f aca="false">E11*D11</f>
        <v>430</v>
      </c>
      <c r="G11" s="6" t="n">
        <v>480</v>
      </c>
      <c r="H11" s="6" t="n">
        <f aca="false">G11*D11</f>
        <v>480</v>
      </c>
      <c r="I11" s="6" t="n">
        <v>530</v>
      </c>
      <c r="J11" s="6" t="n">
        <f aca="false">I11*D11</f>
        <v>530</v>
      </c>
      <c r="K11" s="6" t="n">
        <v>590</v>
      </c>
      <c r="L11" s="6" t="n">
        <f aca="false">K11*D11</f>
        <v>590</v>
      </c>
      <c r="M11" s="6" t="n">
        <v>650</v>
      </c>
      <c r="N11" s="6" t="n">
        <f aca="false">M11*D11</f>
        <v>650</v>
      </c>
      <c r="O11" s="6" t="n">
        <f aca="false">SUM(F11,H11,J11,L11,N11)</f>
        <v>2680</v>
      </c>
      <c r="P11" s="6"/>
    </row>
    <row r="12" customFormat="false" ht="18" hidden="false" customHeight="true" outlineLevel="0" collapsed="false">
      <c r="A12" s="3" t="s">
        <v>27</v>
      </c>
      <c r="B12" s="3" t="s">
        <v>32</v>
      </c>
      <c r="C12" s="3" t="s">
        <v>16</v>
      </c>
      <c r="D12" s="4" t="n">
        <v>0.9</v>
      </c>
      <c r="E12" s="4" t="n">
        <v>380</v>
      </c>
      <c r="F12" s="4" t="n">
        <f aca="false">E12*D12</f>
        <v>342</v>
      </c>
      <c r="G12" s="4" t="n">
        <v>410</v>
      </c>
      <c r="H12" s="4" t="n">
        <f aca="false">G12*D12</f>
        <v>369</v>
      </c>
      <c r="I12" s="4" t="n">
        <v>450</v>
      </c>
      <c r="J12" s="4" t="n">
        <f aca="false">I12*D12</f>
        <v>405</v>
      </c>
      <c r="K12" s="4" t="n">
        <v>490</v>
      </c>
      <c r="L12" s="4" t="n">
        <f aca="false">K12*D12</f>
        <v>441</v>
      </c>
      <c r="M12" s="4" t="n">
        <v>530</v>
      </c>
      <c r="N12" s="4" t="n">
        <f aca="false">M12*D12</f>
        <v>477</v>
      </c>
      <c r="O12" s="4" t="n">
        <f aca="false">SUM(F12,H12,J12,L12,N12)</f>
        <v>2034</v>
      </c>
      <c r="P12" s="4"/>
    </row>
    <row r="13" customFormat="false" ht="18" hidden="false" customHeight="true" outlineLevel="0" collapsed="false">
      <c r="A13" s="5" t="s">
        <v>27</v>
      </c>
      <c r="B13" s="5" t="s">
        <v>33</v>
      </c>
      <c r="C13" s="5" t="s">
        <v>20</v>
      </c>
      <c r="D13" s="6" t="n">
        <v>1</v>
      </c>
      <c r="E13" s="6" t="n">
        <v>95</v>
      </c>
      <c r="F13" s="6" t="n">
        <f aca="false">E13*D13</f>
        <v>95</v>
      </c>
      <c r="G13" s="6" t="n">
        <v>110</v>
      </c>
      <c r="H13" s="6" t="n">
        <f aca="false">G13*D13</f>
        <v>110</v>
      </c>
      <c r="I13" s="6" t="n">
        <v>125</v>
      </c>
      <c r="J13" s="6" t="n">
        <f aca="false">I13*D13</f>
        <v>125</v>
      </c>
      <c r="K13" s="6" t="n">
        <v>140</v>
      </c>
      <c r="L13" s="6" t="n">
        <f aca="false">K13*D13</f>
        <v>140</v>
      </c>
      <c r="M13" s="6" t="n">
        <v>160</v>
      </c>
      <c r="N13" s="6" t="n">
        <f aca="false">M13*D13</f>
        <v>160</v>
      </c>
      <c r="O13" s="6" t="n">
        <f aca="false">SUM(F13,H13,J13,L13,N13)</f>
        <v>630</v>
      </c>
      <c r="P13" s="6"/>
    </row>
    <row r="14" customFormat="false" ht="18" hidden="false" customHeight="true" outlineLevel="0" collapsed="false">
      <c r="A14" s="3" t="s">
        <v>27</v>
      </c>
      <c r="B14" s="3" t="s">
        <v>34</v>
      </c>
      <c r="C14" s="3" t="s">
        <v>35</v>
      </c>
      <c r="D14" s="4" t="n">
        <v>0.75</v>
      </c>
      <c r="E14" s="4" t="n">
        <v>110</v>
      </c>
      <c r="F14" s="4" t="n">
        <f aca="false">E14*D14</f>
        <v>82.5</v>
      </c>
      <c r="G14" s="4" t="n">
        <v>130</v>
      </c>
      <c r="H14" s="4" t="n">
        <f aca="false">G14*D14</f>
        <v>97.5</v>
      </c>
      <c r="I14" s="4" t="n">
        <v>150</v>
      </c>
      <c r="J14" s="4" t="n">
        <f aca="false">I14*D14</f>
        <v>112.5</v>
      </c>
      <c r="K14" s="4" t="n">
        <v>170</v>
      </c>
      <c r="L14" s="4" t="n">
        <f aca="false">K14*D14</f>
        <v>127.5</v>
      </c>
      <c r="M14" s="4" t="n">
        <v>190</v>
      </c>
      <c r="N14" s="4" t="n">
        <f aca="false">M14*D14</f>
        <v>142.5</v>
      </c>
      <c r="O14" s="4" t="n">
        <f aca="false">SUM(F14,H14,J14,L14,N14)</f>
        <v>562.5</v>
      </c>
      <c r="P14" s="4"/>
    </row>
    <row r="15" customFormat="false" ht="18" hidden="false" customHeight="true" outlineLevel="0" collapsed="false">
      <c r="A15" s="5" t="s">
        <v>36</v>
      </c>
      <c r="B15" s="5" t="s">
        <v>37</v>
      </c>
      <c r="C15" s="5" t="s">
        <v>29</v>
      </c>
      <c r="D15" s="6" t="n">
        <v>0.25</v>
      </c>
      <c r="E15" s="6" t="n">
        <v>280</v>
      </c>
      <c r="F15" s="6" t="n">
        <f aca="false">E15*D15</f>
        <v>70</v>
      </c>
      <c r="G15" s="6" t="n">
        <v>300</v>
      </c>
      <c r="H15" s="6" t="n">
        <f aca="false">G15*D15</f>
        <v>75</v>
      </c>
      <c r="I15" s="6" t="n">
        <v>320</v>
      </c>
      <c r="J15" s="6" t="n">
        <f aca="false">I15*D15</f>
        <v>80</v>
      </c>
      <c r="K15" s="6" t="n">
        <v>345</v>
      </c>
      <c r="L15" s="6" t="n">
        <f aca="false">K15*D15</f>
        <v>86.25</v>
      </c>
      <c r="M15" s="6" t="n">
        <v>370</v>
      </c>
      <c r="N15" s="6" t="n">
        <f aca="false">M15*D15</f>
        <v>92.5</v>
      </c>
      <c r="O15" s="6" t="n">
        <f aca="false">SUM(F15,H15,J15,L15,N15)</f>
        <v>403.75</v>
      </c>
      <c r="P15" s="6"/>
    </row>
    <row r="16" customFormat="false" ht="18" hidden="false" customHeight="true" outlineLevel="0" collapsed="false">
      <c r="A16" s="3" t="s">
        <v>36</v>
      </c>
      <c r="B16" s="3" t="s">
        <v>38</v>
      </c>
      <c r="C16" s="3" t="s">
        <v>31</v>
      </c>
      <c r="D16" s="4" t="n">
        <v>0.5</v>
      </c>
      <c r="E16" s="4" t="n">
        <v>150</v>
      </c>
      <c r="F16" s="4" t="n">
        <f aca="false">E16*D16</f>
        <v>75</v>
      </c>
      <c r="G16" s="4" t="n">
        <v>165</v>
      </c>
      <c r="H16" s="4" t="n">
        <f aca="false">G16*D16</f>
        <v>82.5</v>
      </c>
      <c r="I16" s="4" t="n">
        <v>180</v>
      </c>
      <c r="J16" s="4" t="n">
        <f aca="false">I16*D16</f>
        <v>90</v>
      </c>
      <c r="K16" s="4" t="n">
        <v>195</v>
      </c>
      <c r="L16" s="4" t="n">
        <f aca="false">K16*D16</f>
        <v>97.5</v>
      </c>
      <c r="M16" s="4" t="n">
        <v>210</v>
      </c>
      <c r="N16" s="4" t="n">
        <f aca="false">M16*D16</f>
        <v>105</v>
      </c>
      <c r="O16" s="4" t="n">
        <f aca="false">SUM(F16,H16,J16,L16,N16)</f>
        <v>450</v>
      </c>
      <c r="P16" s="4"/>
    </row>
    <row r="17" customFormat="false" ht="18" hidden="false" customHeight="true" outlineLevel="0" collapsed="false">
      <c r="A17" s="5" t="s">
        <v>36</v>
      </c>
      <c r="B17" s="5" t="s">
        <v>39</v>
      </c>
      <c r="C17" s="5" t="s">
        <v>26</v>
      </c>
      <c r="D17" s="6" t="n">
        <v>0.8</v>
      </c>
      <c r="E17" s="6" t="n">
        <v>70</v>
      </c>
      <c r="F17" s="6" t="n">
        <f aca="false">E17*D17</f>
        <v>56</v>
      </c>
      <c r="G17" s="6" t="n">
        <v>80</v>
      </c>
      <c r="H17" s="6" t="n">
        <f aca="false">G17*D17</f>
        <v>64</v>
      </c>
      <c r="I17" s="6" t="n">
        <v>90</v>
      </c>
      <c r="J17" s="6" t="n">
        <f aca="false">I17*D17</f>
        <v>72</v>
      </c>
      <c r="K17" s="6" t="n">
        <v>100</v>
      </c>
      <c r="L17" s="6" t="n">
        <f aca="false">K17*D17</f>
        <v>80</v>
      </c>
      <c r="M17" s="6" t="n">
        <v>115</v>
      </c>
      <c r="N17" s="6" t="n">
        <f aca="false">M17*D17</f>
        <v>92</v>
      </c>
      <c r="O17" s="6" t="n">
        <f aca="false">SUM(F17,H17,J17,L17,N17)</f>
        <v>364</v>
      </c>
      <c r="P17" s="6"/>
    </row>
    <row r="18" customFormat="false" ht="18" hidden="false" customHeight="true" outlineLevel="0" collapsed="false">
      <c r="A18" s="3" t="s">
        <v>36</v>
      </c>
      <c r="B18" s="3" t="s">
        <v>40</v>
      </c>
      <c r="C18" s="3" t="s">
        <v>35</v>
      </c>
      <c r="D18" s="4" t="n">
        <v>0.6</v>
      </c>
      <c r="E18" s="4" t="n">
        <v>55</v>
      </c>
      <c r="F18" s="4" t="n">
        <f aca="false">E18*D18</f>
        <v>33</v>
      </c>
      <c r="G18" s="4" t="n">
        <v>65</v>
      </c>
      <c r="H18" s="4" t="n">
        <f aca="false">G18*D18</f>
        <v>39</v>
      </c>
      <c r="I18" s="4" t="n">
        <v>75</v>
      </c>
      <c r="J18" s="4" t="n">
        <f aca="false">I18*D18</f>
        <v>45</v>
      </c>
      <c r="K18" s="4" t="n">
        <v>85</v>
      </c>
      <c r="L18" s="4" t="n">
        <f aca="false">K18*D18</f>
        <v>51</v>
      </c>
      <c r="M18" s="4" t="n">
        <v>95</v>
      </c>
      <c r="N18" s="4" t="n">
        <f aca="false">M18*D18</f>
        <v>57</v>
      </c>
      <c r="O18" s="4" t="n">
        <f aca="false">SUM(F18,H18,J18,L18,N18)</f>
        <v>225</v>
      </c>
      <c r="P18" s="4"/>
    </row>
    <row r="19" customFormat="false" ht="18" hidden="false" customHeight="true" outlineLevel="0" collapsed="false">
      <c r="A19" s="5" t="s">
        <v>41</v>
      </c>
      <c r="B19" s="5" t="s">
        <v>42</v>
      </c>
      <c r="C19" s="5" t="s">
        <v>20</v>
      </c>
      <c r="D19" s="6" t="n">
        <v>0.9</v>
      </c>
      <c r="E19" s="6" t="n">
        <v>160</v>
      </c>
      <c r="F19" s="6" t="n">
        <f aca="false">E19*D19</f>
        <v>144</v>
      </c>
      <c r="G19" s="6" t="n">
        <v>180</v>
      </c>
      <c r="H19" s="6" t="n">
        <f aca="false">G19*D19</f>
        <v>162</v>
      </c>
      <c r="I19" s="6" t="n">
        <v>200</v>
      </c>
      <c r="J19" s="6" t="n">
        <f aca="false">I19*D19</f>
        <v>180</v>
      </c>
      <c r="K19" s="6" t="n">
        <v>220</v>
      </c>
      <c r="L19" s="6" t="n">
        <f aca="false">K19*D19</f>
        <v>198</v>
      </c>
      <c r="M19" s="6" t="n">
        <v>245</v>
      </c>
      <c r="N19" s="6" t="n">
        <f aca="false">M19*D19</f>
        <v>220.5</v>
      </c>
      <c r="O19" s="6" t="n">
        <f aca="false">SUM(F19,H19,J19,L19,N19)</f>
        <v>904.5</v>
      </c>
      <c r="P19" s="6"/>
    </row>
    <row r="20" customFormat="false" ht="18" hidden="false" customHeight="true" outlineLevel="0" collapsed="false">
      <c r="A20" s="3" t="s">
        <v>41</v>
      </c>
      <c r="B20" s="3" t="s">
        <v>43</v>
      </c>
      <c r="C20" s="3" t="s">
        <v>16</v>
      </c>
      <c r="D20" s="4" t="n">
        <v>0.85</v>
      </c>
      <c r="E20" s="4" t="n">
        <v>90</v>
      </c>
      <c r="F20" s="4" t="n">
        <f aca="false">E20*D20</f>
        <v>76.5</v>
      </c>
      <c r="G20" s="4" t="n">
        <v>105</v>
      </c>
      <c r="H20" s="4" t="n">
        <f aca="false">G20*D20</f>
        <v>89.25</v>
      </c>
      <c r="I20" s="4" t="n">
        <v>120</v>
      </c>
      <c r="J20" s="4" t="n">
        <f aca="false">I20*D20</f>
        <v>102</v>
      </c>
      <c r="K20" s="4" t="n">
        <v>135</v>
      </c>
      <c r="L20" s="4" t="n">
        <f aca="false">K20*D20</f>
        <v>114.75</v>
      </c>
      <c r="M20" s="4" t="n">
        <v>150</v>
      </c>
      <c r="N20" s="4" t="n">
        <f aca="false">M20*D20</f>
        <v>127.5</v>
      </c>
      <c r="O20" s="4" t="n">
        <f aca="false">SUM(F20,H20,J20,L20,N20)</f>
        <v>510</v>
      </c>
      <c r="P20" s="4"/>
    </row>
    <row r="21" customFormat="false" ht="18" hidden="false" customHeight="true" outlineLevel="0" collapsed="false">
      <c r="A21" s="5" t="s">
        <v>44</v>
      </c>
      <c r="B21" s="5" t="s">
        <v>45</v>
      </c>
      <c r="C21" s="5" t="s">
        <v>31</v>
      </c>
      <c r="D21" s="6" t="n">
        <v>0.7</v>
      </c>
      <c r="E21" s="6" t="n">
        <v>85</v>
      </c>
      <c r="F21" s="6" t="n">
        <f aca="false">E21*D21</f>
        <v>59.5</v>
      </c>
      <c r="G21" s="6" t="n">
        <v>95</v>
      </c>
      <c r="H21" s="6" t="n">
        <f aca="false">G21*D21</f>
        <v>66.5</v>
      </c>
      <c r="I21" s="6" t="n">
        <v>110</v>
      </c>
      <c r="J21" s="6" t="n">
        <f aca="false">I21*D21</f>
        <v>77</v>
      </c>
      <c r="K21" s="6" t="n">
        <v>125</v>
      </c>
      <c r="L21" s="6" t="n">
        <f aca="false">K21*D21</f>
        <v>87.5</v>
      </c>
      <c r="M21" s="6" t="n">
        <v>140</v>
      </c>
      <c r="N21" s="6" t="n">
        <f aca="false">M21*D21</f>
        <v>98</v>
      </c>
      <c r="O21" s="6" t="n">
        <f aca="false">SUM(F21,H21,J21,L21,N21)</f>
        <v>388.5</v>
      </c>
      <c r="P21" s="6"/>
    </row>
    <row r="22" customFormat="false" ht="18" hidden="false" customHeight="true" outlineLevel="0" collapsed="false">
      <c r="A22" s="3" t="s">
        <v>44</v>
      </c>
      <c r="B22" s="3" t="s">
        <v>46</v>
      </c>
      <c r="C22" s="3" t="s">
        <v>18</v>
      </c>
      <c r="D22" s="4" t="n">
        <v>0.4</v>
      </c>
      <c r="E22" s="4" t="n">
        <v>60</v>
      </c>
      <c r="F22" s="4" t="n">
        <f aca="false">E22*D22</f>
        <v>24</v>
      </c>
      <c r="G22" s="4" t="n">
        <v>70</v>
      </c>
      <c r="H22" s="4" t="n">
        <f aca="false">G22*D22</f>
        <v>28</v>
      </c>
      <c r="I22" s="4" t="n">
        <v>80</v>
      </c>
      <c r="J22" s="4" t="n">
        <f aca="false">I22*D22</f>
        <v>32</v>
      </c>
      <c r="K22" s="4" t="n">
        <v>90</v>
      </c>
      <c r="L22" s="4" t="n">
        <f aca="false">K22*D22</f>
        <v>36</v>
      </c>
      <c r="M22" s="4" t="n">
        <v>100</v>
      </c>
      <c r="N22" s="4" t="n">
        <f aca="false">M22*D22</f>
        <v>40</v>
      </c>
      <c r="O22" s="4" t="n">
        <f aca="false">SUM(F22,H22,J22,L22,N22)</f>
        <v>160</v>
      </c>
      <c r="P22" s="4"/>
    </row>
    <row r="23" customFormat="false" ht="18" hidden="false" customHeight="true" outlineLevel="0" collapsed="false">
      <c r="A23" s="5" t="s">
        <v>47</v>
      </c>
      <c r="B23" s="5" t="s">
        <v>48</v>
      </c>
      <c r="C23" s="5" t="s">
        <v>35</v>
      </c>
      <c r="D23" s="6" t="n">
        <v>0.3</v>
      </c>
      <c r="E23" s="6" t="n">
        <v>45</v>
      </c>
      <c r="F23" s="6" t="n">
        <f aca="false">E23*D23</f>
        <v>13.5</v>
      </c>
      <c r="G23" s="6" t="n">
        <v>55</v>
      </c>
      <c r="H23" s="6" t="n">
        <f aca="false">G23*D23</f>
        <v>16.5</v>
      </c>
      <c r="I23" s="6" t="n">
        <v>65</v>
      </c>
      <c r="J23" s="6" t="n">
        <f aca="false">I23*D23</f>
        <v>19.5</v>
      </c>
      <c r="K23" s="6" t="n">
        <v>75</v>
      </c>
      <c r="L23" s="6" t="n">
        <f aca="false">K23*D23</f>
        <v>22.5</v>
      </c>
      <c r="M23" s="6" t="n">
        <v>85</v>
      </c>
      <c r="N23" s="6" t="n">
        <f aca="false">M23*D23</f>
        <v>25.5</v>
      </c>
      <c r="O23" s="6" t="n">
        <f aca="false">SUM(F23,H23,J23,L23,N23)</f>
        <v>97.5</v>
      </c>
      <c r="P23" s="6"/>
    </row>
    <row r="24" customFormat="false" ht="18" hidden="false" customHeight="true" outlineLevel="0" collapsed="false">
      <c r="A24" s="3" t="s">
        <v>47</v>
      </c>
      <c r="B24" s="3" t="s">
        <v>49</v>
      </c>
      <c r="C24" s="3" t="s">
        <v>22</v>
      </c>
      <c r="D24" s="4" t="n">
        <v>0.7</v>
      </c>
      <c r="E24" s="4" t="n">
        <v>75</v>
      </c>
      <c r="F24" s="4" t="n">
        <f aca="false">E24*D24</f>
        <v>52.5</v>
      </c>
      <c r="G24" s="4" t="n">
        <v>85</v>
      </c>
      <c r="H24" s="4" t="n">
        <f aca="false">G24*D24</f>
        <v>59.5</v>
      </c>
      <c r="I24" s="4" t="n">
        <v>95</v>
      </c>
      <c r="J24" s="4" t="n">
        <f aca="false">I24*D24</f>
        <v>66.5</v>
      </c>
      <c r="K24" s="4" t="n">
        <v>110</v>
      </c>
      <c r="L24" s="4" t="n">
        <f aca="false">K24*D24</f>
        <v>77</v>
      </c>
      <c r="M24" s="4" t="n">
        <v>125</v>
      </c>
      <c r="N24" s="4" t="n">
        <f aca="false">M24*D24</f>
        <v>87.5</v>
      </c>
      <c r="O24" s="4" t="n">
        <f aca="false">SUM(F24,H24,J24,L24,N24)</f>
        <v>343</v>
      </c>
      <c r="P24" s="4"/>
    </row>
    <row r="25" customFormat="false" ht="21.75" hidden="false" customHeight="true" outlineLevel="0" collapsed="false">
      <c r="A25" s="7" t="s">
        <v>50</v>
      </c>
      <c r="B25" s="7"/>
      <c r="C25" s="7"/>
      <c r="D25" s="8"/>
      <c r="E25" s="9" t="n">
        <f aca="false">SUM(E4:E24)</f>
        <v>4280</v>
      </c>
      <c r="F25" s="9" t="n">
        <f aca="false">SUM(F4:F24)</f>
        <v>3587.5</v>
      </c>
      <c r="G25" s="9" t="n">
        <f aca="false">SUM(G4:G24)</f>
        <v>4750</v>
      </c>
      <c r="H25" s="9" t="n">
        <f aca="false">SUM(H4:H24)</f>
        <v>3981.75</v>
      </c>
      <c r="I25" s="9" t="n">
        <f aca="false">SUM(I4:I24)</f>
        <v>5225</v>
      </c>
      <c r="J25" s="9" t="n">
        <f aca="false">SUM(J4:J24)</f>
        <v>4378.5</v>
      </c>
      <c r="K25" s="9" t="n">
        <f aca="false">SUM(K4:K24)</f>
        <v>5730</v>
      </c>
      <c r="L25" s="9" t="n">
        <f aca="false">SUM(L4:L24)</f>
        <v>4800</v>
      </c>
      <c r="M25" s="9" t="n">
        <f aca="false">SUM(M4:M24)</f>
        <v>6260</v>
      </c>
      <c r="N25" s="9" t="n">
        <f aca="false">SUM(N4:N24)</f>
        <v>5244</v>
      </c>
      <c r="O25" s="10" t="n">
        <f aca="false">SUM(O4:O24)</f>
        <v>21991.75</v>
      </c>
    </row>
  </sheetData>
  <mergeCells count="13"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P2:P3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5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16" min="5" style="0" width="13"/>
  </cols>
  <sheetData>
    <row r="1" customFormat="false" ht="30" hidden="false" customHeight="true" outlineLevel="0" collapsed="false">
      <c r="A1" s="11" t="s">
        <v>51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customFormat="false" ht="21.75" hidden="false" customHeight="true" outlineLevel="0" collapsed="false">
      <c r="A2" s="12" t="s">
        <v>52</v>
      </c>
      <c r="B2" s="12" t="s">
        <v>2</v>
      </c>
      <c r="C2" s="12" t="s">
        <v>3</v>
      </c>
      <c r="D2" s="12" t="s">
        <v>4</v>
      </c>
      <c r="E2" s="12" t="s">
        <v>5</v>
      </c>
      <c r="F2" s="12"/>
      <c r="G2" s="12" t="s">
        <v>6</v>
      </c>
      <c r="H2" s="12"/>
      <c r="I2" s="12" t="s">
        <v>7</v>
      </c>
      <c r="J2" s="12"/>
      <c r="K2" s="12" t="s">
        <v>8</v>
      </c>
      <c r="L2" s="12"/>
      <c r="M2" s="12" t="s">
        <v>9</v>
      </c>
      <c r="N2" s="12"/>
      <c r="O2" s="12" t="s">
        <v>10</v>
      </c>
    </row>
    <row r="3" customFormat="false" ht="21.75" hidden="false" customHeight="true" outlineLevel="0" collapsed="false">
      <c r="A3" s="12"/>
      <c r="B3" s="12"/>
      <c r="C3" s="12"/>
      <c r="D3" s="12"/>
      <c r="E3" s="12" t="s">
        <v>12</v>
      </c>
      <c r="F3" s="12" t="s">
        <v>13</v>
      </c>
      <c r="G3" s="12" t="s">
        <v>12</v>
      </c>
      <c r="H3" s="12" t="s">
        <v>13</v>
      </c>
      <c r="I3" s="12" t="s">
        <v>12</v>
      </c>
      <c r="J3" s="12" t="s">
        <v>13</v>
      </c>
      <c r="K3" s="12" t="s">
        <v>12</v>
      </c>
      <c r="L3" s="12" t="s">
        <v>13</v>
      </c>
      <c r="M3" s="12" t="s">
        <v>12</v>
      </c>
      <c r="N3" s="12" t="s">
        <v>13</v>
      </c>
      <c r="O3" s="12"/>
    </row>
    <row r="4" customFormat="false" ht="18" hidden="false" customHeight="true" outlineLevel="0" collapsed="false">
      <c r="A4" s="13" t="s">
        <v>53</v>
      </c>
      <c r="B4" s="13" t="s">
        <v>54</v>
      </c>
      <c r="C4" s="13" t="s">
        <v>16</v>
      </c>
      <c r="D4" s="14" t="n">
        <v>1</v>
      </c>
      <c r="E4" s="14" t="n">
        <v>420</v>
      </c>
      <c r="F4" s="14" t="n">
        <f aca="false">E4*D4</f>
        <v>420</v>
      </c>
      <c r="G4" s="14" t="n">
        <v>460</v>
      </c>
      <c r="H4" s="14" t="n">
        <f aca="false">G4*D4</f>
        <v>460</v>
      </c>
      <c r="I4" s="14" t="n">
        <v>510</v>
      </c>
      <c r="J4" s="14" t="n">
        <f aca="false">I4*D4</f>
        <v>510</v>
      </c>
      <c r="K4" s="14" t="n">
        <v>560</v>
      </c>
      <c r="L4" s="14" t="n">
        <f aca="false">K4*D4</f>
        <v>560</v>
      </c>
      <c r="M4" s="14" t="n">
        <v>600</v>
      </c>
      <c r="N4" s="14" t="n">
        <f aca="false">M4*D4</f>
        <v>600</v>
      </c>
      <c r="O4" s="14" t="n">
        <f aca="false">SUM(F4,H4,J4,L4,N4)</f>
        <v>2550</v>
      </c>
    </row>
    <row r="5" customFormat="false" ht="18" hidden="false" customHeight="true" outlineLevel="0" collapsed="false">
      <c r="A5" s="5" t="s">
        <v>53</v>
      </c>
      <c r="B5" s="5" t="s">
        <v>55</v>
      </c>
      <c r="C5" s="5" t="s">
        <v>29</v>
      </c>
      <c r="D5" s="6" t="n">
        <v>0.9</v>
      </c>
      <c r="E5" s="6" t="n">
        <v>180</v>
      </c>
      <c r="F5" s="6" t="n">
        <f aca="false">E5*D5</f>
        <v>162</v>
      </c>
      <c r="G5" s="6" t="n">
        <v>200</v>
      </c>
      <c r="H5" s="6" t="n">
        <f aca="false">G5*D5</f>
        <v>180</v>
      </c>
      <c r="I5" s="6" t="n">
        <v>225</v>
      </c>
      <c r="J5" s="6" t="n">
        <f aca="false">I5*D5</f>
        <v>202.5</v>
      </c>
      <c r="K5" s="6" t="n">
        <v>250</v>
      </c>
      <c r="L5" s="6" t="n">
        <f aca="false">K5*D5</f>
        <v>225</v>
      </c>
      <c r="M5" s="6" t="n">
        <v>275</v>
      </c>
      <c r="N5" s="6" t="n">
        <f aca="false">M5*D5</f>
        <v>247.5</v>
      </c>
      <c r="O5" s="6" t="n">
        <f aca="false">SUM(F5,H5,J5,L5,N5)</f>
        <v>1017</v>
      </c>
    </row>
    <row r="6" customFormat="false" ht="18" hidden="false" customHeight="true" outlineLevel="0" collapsed="false">
      <c r="A6" s="13" t="s">
        <v>56</v>
      </c>
      <c r="B6" s="13" t="s">
        <v>57</v>
      </c>
      <c r="C6" s="13" t="s">
        <v>16</v>
      </c>
      <c r="D6" s="14" t="n">
        <v>1</v>
      </c>
      <c r="E6" s="14" t="n">
        <v>310</v>
      </c>
      <c r="F6" s="14" t="n">
        <f aca="false">E6*D6</f>
        <v>310</v>
      </c>
      <c r="G6" s="14" t="n">
        <v>340</v>
      </c>
      <c r="H6" s="14" t="n">
        <f aca="false">G6*D6</f>
        <v>340</v>
      </c>
      <c r="I6" s="14" t="n">
        <v>375</v>
      </c>
      <c r="J6" s="14" t="n">
        <f aca="false">I6*D6</f>
        <v>375</v>
      </c>
      <c r="K6" s="14" t="n">
        <v>410</v>
      </c>
      <c r="L6" s="14" t="n">
        <f aca="false">K6*D6</f>
        <v>410</v>
      </c>
      <c r="M6" s="14" t="n">
        <v>445</v>
      </c>
      <c r="N6" s="14" t="n">
        <f aca="false">M6*D6</f>
        <v>445</v>
      </c>
      <c r="O6" s="14" t="n">
        <f aca="false">SUM(F6,H6,J6,L6,N6)</f>
        <v>1880</v>
      </c>
    </row>
    <row r="7" customFormat="false" ht="18" hidden="false" customHeight="true" outlineLevel="0" collapsed="false">
      <c r="A7" s="5" t="s">
        <v>56</v>
      </c>
      <c r="B7" s="5" t="s">
        <v>58</v>
      </c>
      <c r="C7" s="5" t="s">
        <v>29</v>
      </c>
      <c r="D7" s="6" t="n">
        <v>0.85</v>
      </c>
      <c r="E7" s="6" t="n">
        <v>140</v>
      </c>
      <c r="F7" s="6" t="n">
        <f aca="false">E7*D7</f>
        <v>119</v>
      </c>
      <c r="G7" s="6" t="n">
        <v>160</v>
      </c>
      <c r="H7" s="6" t="n">
        <f aca="false">G7*D7</f>
        <v>136</v>
      </c>
      <c r="I7" s="6" t="n">
        <v>180</v>
      </c>
      <c r="J7" s="6" t="n">
        <f aca="false">I7*D7</f>
        <v>153</v>
      </c>
      <c r="K7" s="6" t="n">
        <v>200</v>
      </c>
      <c r="L7" s="6" t="n">
        <f aca="false">K7*D7</f>
        <v>170</v>
      </c>
      <c r="M7" s="6" t="n">
        <v>220</v>
      </c>
      <c r="N7" s="6" t="n">
        <f aca="false">M7*D7</f>
        <v>187</v>
      </c>
      <c r="O7" s="6" t="n">
        <f aca="false">SUM(F7,H7,J7,L7,N7)</f>
        <v>765</v>
      </c>
    </row>
    <row r="8" customFormat="false" ht="18" hidden="false" customHeight="true" outlineLevel="0" collapsed="false">
      <c r="A8" s="13" t="s">
        <v>59</v>
      </c>
      <c r="B8" s="13" t="s">
        <v>60</v>
      </c>
      <c r="C8" s="13" t="s">
        <v>20</v>
      </c>
      <c r="D8" s="14" t="n">
        <v>1</v>
      </c>
      <c r="E8" s="14" t="n">
        <v>95</v>
      </c>
      <c r="F8" s="14" t="n">
        <f aca="false">E8*D8</f>
        <v>95</v>
      </c>
      <c r="G8" s="14" t="n">
        <v>110</v>
      </c>
      <c r="H8" s="14" t="n">
        <f aca="false">G8*D8</f>
        <v>110</v>
      </c>
      <c r="I8" s="14" t="n">
        <v>125</v>
      </c>
      <c r="J8" s="14" t="n">
        <f aca="false">I8*D8</f>
        <v>125</v>
      </c>
      <c r="K8" s="14" t="n">
        <v>140</v>
      </c>
      <c r="L8" s="14" t="n">
        <f aca="false">K8*D8</f>
        <v>140</v>
      </c>
      <c r="M8" s="14" t="n">
        <v>158</v>
      </c>
      <c r="N8" s="14" t="n">
        <f aca="false">M8*D8</f>
        <v>158</v>
      </c>
      <c r="O8" s="14" t="n">
        <f aca="false">SUM(F8,H8,J8,L8,N8)</f>
        <v>628</v>
      </c>
    </row>
    <row r="9" customFormat="false" ht="18" hidden="false" customHeight="true" outlineLevel="0" collapsed="false">
      <c r="A9" s="5" t="s">
        <v>59</v>
      </c>
      <c r="B9" s="5" t="s">
        <v>61</v>
      </c>
      <c r="C9" s="5" t="s">
        <v>31</v>
      </c>
      <c r="D9" s="6" t="n">
        <v>1</v>
      </c>
      <c r="E9" s="6" t="n">
        <v>120</v>
      </c>
      <c r="F9" s="6" t="n">
        <f aca="false">E9*D9</f>
        <v>120</v>
      </c>
      <c r="G9" s="6" t="n">
        <v>135</v>
      </c>
      <c r="H9" s="6" t="n">
        <f aca="false">G9*D9</f>
        <v>135</v>
      </c>
      <c r="I9" s="6" t="n">
        <v>155</v>
      </c>
      <c r="J9" s="6" t="n">
        <f aca="false">I9*D9</f>
        <v>155</v>
      </c>
      <c r="K9" s="6" t="n">
        <v>175</v>
      </c>
      <c r="L9" s="6" t="n">
        <f aca="false">K9*D9</f>
        <v>175</v>
      </c>
      <c r="M9" s="6" t="n">
        <v>195</v>
      </c>
      <c r="N9" s="6" t="n">
        <f aca="false">M9*D9</f>
        <v>195</v>
      </c>
      <c r="O9" s="6" t="n">
        <f aca="false">SUM(F9,H9,J9,L9,N9)</f>
        <v>780</v>
      </c>
    </row>
    <row r="10" customFormat="false" ht="18" hidden="false" customHeight="true" outlineLevel="0" collapsed="false">
      <c r="A10" s="13" t="s">
        <v>62</v>
      </c>
      <c r="B10" s="13" t="s">
        <v>63</v>
      </c>
      <c r="C10" s="13" t="s">
        <v>20</v>
      </c>
      <c r="D10" s="14" t="n">
        <v>0.8</v>
      </c>
      <c r="E10" s="14" t="n">
        <v>55</v>
      </c>
      <c r="F10" s="14" t="n">
        <f aca="false">E10*D10</f>
        <v>44</v>
      </c>
      <c r="G10" s="14" t="n">
        <v>65</v>
      </c>
      <c r="H10" s="14" t="n">
        <f aca="false">G10*D10</f>
        <v>52</v>
      </c>
      <c r="I10" s="14" t="n">
        <v>75</v>
      </c>
      <c r="J10" s="14" t="n">
        <f aca="false">I10*D10</f>
        <v>60</v>
      </c>
      <c r="K10" s="14" t="n">
        <v>85</v>
      </c>
      <c r="L10" s="14" t="n">
        <f aca="false">K10*D10</f>
        <v>68</v>
      </c>
      <c r="M10" s="14" t="n">
        <v>95</v>
      </c>
      <c r="N10" s="14" t="n">
        <f aca="false">M10*D10</f>
        <v>76</v>
      </c>
      <c r="O10" s="14" t="n">
        <f aca="false">SUM(F10,H10,J10,L10,N10)</f>
        <v>300</v>
      </c>
    </row>
    <row r="11" customFormat="false" ht="18" hidden="false" customHeight="true" outlineLevel="0" collapsed="false">
      <c r="A11" s="5" t="s">
        <v>62</v>
      </c>
      <c r="B11" s="5" t="s">
        <v>64</v>
      </c>
      <c r="C11" s="5" t="s">
        <v>22</v>
      </c>
      <c r="D11" s="6" t="n">
        <v>0.7</v>
      </c>
      <c r="E11" s="6" t="n">
        <v>40</v>
      </c>
      <c r="F11" s="6" t="n">
        <f aca="false">E11*D11</f>
        <v>28</v>
      </c>
      <c r="G11" s="6" t="n">
        <v>50</v>
      </c>
      <c r="H11" s="6" t="n">
        <f aca="false">G11*D11</f>
        <v>35</v>
      </c>
      <c r="I11" s="6" t="n">
        <v>58</v>
      </c>
      <c r="J11" s="6" t="n">
        <f aca="false">I11*D11</f>
        <v>40.6</v>
      </c>
      <c r="K11" s="6" t="n">
        <v>68</v>
      </c>
      <c r="L11" s="6" t="n">
        <f aca="false">K11*D11</f>
        <v>47.6</v>
      </c>
      <c r="M11" s="6" t="n">
        <v>78</v>
      </c>
      <c r="N11" s="6" t="n">
        <f aca="false">M11*D11</f>
        <v>54.6</v>
      </c>
      <c r="O11" s="6" t="n">
        <f aca="false">SUM(F11,H11,J11,L11,N11)</f>
        <v>205.8</v>
      </c>
    </row>
    <row r="12" customFormat="false" ht="18" hidden="false" customHeight="true" outlineLevel="0" collapsed="false">
      <c r="A12" s="13" t="s">
        <v>65</v>
      </c>
      <c r="B12" s="13" t="s">
        <v>66</v>
      </c>
      <c r="C12" s="13" t="s">
        <v>24</v>
      </c>
      <c r="D12" s="14" t="n">
        <v>0.9</v>
      </c>
      <c r="E12" s="14" t="n">
        <v>75</v>
      </c>
      <c r="F12" s="14" t="n">
        <f aca="false">E12*D12</f>
        <v>67.5</v>
      </c>
      <c r="G12" s="14" t="n">
        <v>85</v>
      </c>
      <c r="H12" s="14" t="n">
        <f aca="false">G12*D12</f>
        <v>76.5</v>
      </c>
      <c r="I12" s="14" t="n">
        <v>98</v>
      </c>
      <c r="J12" s="14" t="n">
        <f aca="false">I12*D12</f>
        <v>88.2</v>
      </c>
      <c r="K12" s="14" t="n">
        <v>112</v>
      </c>
      <c r="L12" s="14" t="n">
        <f aca="false">K12*D12</f>
        <v>100.8</v>
      </c>
      <c r="M12" s="14" t="n">
        <v>125</v>
      </c>
      <c r="N12" s="14" t="n">
        <f aca="false">M12*D12</f>
        <v>112.5</v>
      </c>
      <c r="O12" s="14" t="n">
        <f aca="false">SUM(F12,H12,J12,L12,N12)</f>
        <v>445.5</v>
      </c>
    </row>
    <row r="13" customFormat="false" ht="18" hidden="false" customHeight="true" outlineLevel="0" collapsed="false">
      <c r="A13" s="5" t="s">
        <v>65</v>
      </c>
      <c r="B13" s="5" t="s">
        <v>67</v>
      </c>
      <c r="C13" s="5" t="s">
        <v>22</v>
      </c>
      <c r="D13" s="6" t="n">
        <v>0.85</v>
      </c>
      <c r="E13" s="6" t="n">
        <v>48</v>
      </c>
      <c r="F13" s="6" t="n">
        <f aca="false">E13*D13</f>
        <v>40.8</v>
      </c>
      <c r="G13" s="6" t="n">
        <v>56</v>
      </c>
      <c r="H13" s="6" t="n">
        <f aca="false">G13*D13</f>
        <v>47.6</v>
      </c>
      <c r="I13" s="6" t="n">
        <v>65</v>
      </c>
      <c r="J13" s="6" t="n">
        <f aca="false">I13*D13</f>
        <v>55.25</v>
      </c>
      <c r="K13" s="6" t="n">
        <v>75</v>
      </c>
      <c r="L13" s="6" t="n">
        <f aca="false">K13*D13</f>
        <v>63.75</v>
      </c>
      <c r="M13" s="6" t="n">
        <v>85</v>
      </c>
      <c r="N13" s="6" t="n">
        <f aca="false">M13*D13</f>
        <v>72.25</v>
      </c>
      <c r="O13" s="6" t="n">
        <f aca="false">SUM(F13,H13,J13,L13,N13)</f>
        <v>279.65</v>
      </c>
    </row>
    <row r="14" customFormat="false" ht="18" hidden="false" customHeight="true" outlineLevel="0" collapsed="false">
      <c r="A14" s="13" t="s">
        <v>68</v>
      </c>
      <c r="B14" s="13" t="s">
        <v>69</v>
      </c>
      <c r="C14" s="13" t="s">
        <v>31</v>
      </c>
      <c r="D14" s="14" t="n">
        <v>1</v>
      </c>
      <c r="E14" s="14" t="n">
        <v>85</v>
      </c>
      <c r="F14" s="14" t="n">
        <f aca="false">E14*D14</f>
        <v>85</v>
      </c>
      <c r="G14" s="14" t="n">
        <v>95</v>
      </c>
      <c r="H14" s="14" t="n">
        <f aca="false">G14*D14</f>
        <v>95</v>
      </c>
      <c r="I14" s="14" t="n">
        <v>110</v>
      </c>
      <c r="J14" s="14" t="n">
        <f aca="false">I14*D14</f>
        <v>110</v>
      </c>
      <c r="K14" s="14" t="n">
        <v>125</v>
      </c>
      <c r="L14" s="14" t="n">
        <f aca="false">K14*D14</f>
        <v>125</v>
      </c>
      <c r="M14" s="14" t="n">
        <v>140</v>
      </c>
      <c r="N14" s="14" t="n">
        <f aca="false">M14*D14</f>
        <v>140</v>
      </c>
      <c r="O14" s="14" t="n">
        <f aca="false">SUM(F14,H14,J14,L14,N14)</f>
        <v>555</v>
      </c>
    </row>
    <row r="15" customFormat="false" ht="18" hidden="false" customHeight="true" outlineLevel="0" collapsed="false">
      <c r="A15" s="5" t="s">
        <v>68</v>
      </c>
      <c r="B15" s="5" t="s">
        <v>70</v>
      </c>
      <c r="C15" s="5" t="s">
        <v>35</v>
      </c>
      <c r="D15" s="6" t="n">
        <v>0.7</v>
      </c>
      <c r="E15" s="6" t="n">
        <v>60</v>
      </c>
      <c r="F15" s="6" t="n">
        <f aca="false">E15*D15</f>
        <v>42</v>
      </c>
      <c r="G15" s="6" t="n">
        <v>70</v>
      </c>
      <c r="H15" s="6" t="n">
        <f aca="false">G15*D15</f>
        <v>49</v>
      </c>
      <c r="I15" s="6" t="n">
        <v>82</v>
      </c>
      <c r="J15" s="6" t="n">
        <f aca="false">I15*D15</f>
        <v>57.4</v>
      </c>
      <c r="K15" s="6" t="n">
        <v>95</v>
      </c>
      <c r="L15" s="6" t="n">
        <f aca="false">K15*D15</f>
        <v>66.5</v>
      </c>
      <c r="M15" s="6" t="n">
        <v>108</v>
      </c>
      <c r="N15" s="6" t="n">
        <f aca="false">M15*D15</f>
        <v>75.6</v>
      </c>
      <c r="O15" s="6" t="n">
        <f aca="false">SUM(F15,H15,J15,L15,N15)</f>
        <v>290.5</v>
      </c>
    </row>
    <row r="16" customFormat="false" ht="18" hidden="false" customHeight="true" outlineLevel="0" collapsed="false">
      <c r="A16" s="13" t="s">
        <v>71</v>
      </c>
      <c r="B16" s="13" t="s">
        <v>72</v>
      </c>
      <c r="C16" s="13" t="s">
        <v>29</v>
      </c>
      <c r="D16" s="14" t="n">
        <v>0.8</v>
      </c>
      <c r="E16" s="14" t="n">
        <v>70</v>
      </c>
      <c r="F16" s="14" t="n">
        <f aca="false">E16*D16</f>
        <v>56</v>
      </c>
      <c r="G16" s="14" t="n">
        <v>80</v>
      </c>
      <c r="H16" s="14" t="n">
        <f aca="false">G16*D16</f>
        <v>64</v>
      </c>
      <c r="I16" s="14" t="n">
        <v>92</v>
      </c>
      <c r="J16" s="14" t="n">
        <f aca="false">I16*D16</f>
        <v>73.6</v>
      </c>
      <c r="K16" s="14" t="n">
        <v>105</v>
      </c>
      <c r="L16" s="14" t="n">
        <f aca="false">K16*D16</f>
        <v>84</v>
      </c>
      <c r="M16" s="14" t="n">
        <v>118</v>
      </c>
      <c r="N16" s="14" t="n">
        <f aca="false">M16*D16</f>
        <v>94.4</v>
      </c>
      <c r="O16" s="14" t="n">
        <f aca="false">SUM(F16,H16,J16,L16,N16)</f>
        <v>372</v>
      </c>
    </row>
    <row r="17" customFormat="false" ht="18" hidden="false" customHeight="true" outlineLevel="0" collapsed="false">
      <c r="A17" s="5" t="s">
        <v>71</v>
      </c>
      <c r="B17" s="5" t="s">
        <v>73</v>
      </c>
      <c r="C17" s="5" t="s">
        <v>35</v>
      </c>
      <c r="D17" s="6" t="n">
        <v>0.75</v>
      </c>
      <c r="E17" s="6" t="n">
        <v>45</v>
      </c>
      <c r="F17" s="6" t="n">
        <f aca="false">E17*D17</f>
        <v>33.75</v>
      </c>
      <c r="G17" s="6" t="n">
        <v>55</v>
      </c>
      <c r="H17" s="6" t="n">
        <f aca="false">G17*D17</f>
        <v>41.25</v>
      </c>
      <c r="I17" s="6" t="n">
        <v>65</v>
      </c>
      <c r="J17" s="6" t="n">
        <f aca="false">I17*D17</f>
        <v>48.75</v>
      </c>
      <c r="K17" s="6" t="n">
        <v>75</v>
      </c>
      <c r="L17" s="6" t="n">
        <f aca="false">K17*D17</f>
        <v>56.25</v>
      </c>
      <c r="M17" s="6" t="n">
        <v>85</v>
      </c>
      <c r="N17" s="6" t="n">
        <f aca="false">M17*D17</f>
        <v>63.75</v>
      </c>
      <c r="O17" s="6" t="n">
        <f aca="false">SUM(F17,H17,J17,L17,N17)</f>
        <v>243.75</v>
      </c>
    </row>
    <row r="18" customFormat="false" ht="18" hidden="false" customHeight="true" outlineLevel="0" collapsed="false">
      <c r="A18" s="13" t="s">
        <v>74</v>
      </c>
      <c r="B18" s="13" t="s">
        <v>75</v>
      </c>
      <c r="C18" s="13" t="s">
        <v>16</v>
      </c>
      <c r="D18" s="14" t="n">
        <v>1</v>
      </c>
      <c r="E18" s="14" t="n">
        <v>65</v>
      </c>
      <c r="F18" s="14" t="n">
        <f aca="false">E18*D18</f>
        <v>65</v>
      </c>
      <c r="G18" s="14" t="n">
        <v>78</v>
      </c>
      <c r="H18" s="14" t="n">
        <f aca="false">G18*D18</f>
        <v>78</v>
      </c>
      <c r="I18" s="14" t="n">
        <v>90</v>
      </c>
      <c r="J18" s="14" t="n">
        <f aca="false">I18*D18</f>
        <v>90</v>
      </c>
      <c r="K18" s="14" t="n">
        <v>103</v>
      </c>
      <c r="L18" s="14" t="n">
        <f aca="false">K18*D18</f>
        <v>103</v>
      </c>
      <c r="M18" s="14" t="n">
        <v>118</v>
      </c>
      <c r="N18" s="14" t="n">
        <f aca="false">M18*D18</f>
        <v>118</v>
      </c>
      <c r="O18" s="14" t="n">
        <f aca="false">SUM(F18,H18,J18,L18,N18)</f>
        <v>454</v>
      </c>
    </row>
    <row r="19" customFormat="false" ht="15" hidden="false" customHeight="true" outlineLevel="0" collapsed="false">
      <c r="A19" s="15" t="s">
        <v>76</v>
      </c>
      <c r="B19" s="15"/>
      <c r="C19" s="15"/>
      <c r="E19" s="9" t="n">
        <f aca="false">SUM(E4:E18)</f>
        <v>1808</v>
      </c>
      <c r="F19" s="9" t="n">
        <f aca="false">SUM(F4:F18)</f>
        <v>1688.05</v>
      </c>
      <c r="G19" s="9" t="n">
        <f aca="false">SUM(G4:G18)</f>
        <v>2039</v>
      </c>
      <c r="H19" s="9" t="n">
        <f aca="false">SUM(H4:H18)</f>
        <v>1899.35</v>
      </c>
      <c r="I19" s="9" t="n">
        <f aca="false">SUM(I4:I18)</f>
        <v>2305</v>
      </c>
      <c r="J19" s="9" t="n">
        <f aca="false">SUM(J4:J18)</f>
        <v>2144.3</v>
      </c>
      <c r="K19" s="9" t="n">
        <f aca="false">SUM(K4:K18)</f>
        <v>2578</v>
      </c>
      <c r="L19" s="9" t="n">
        <f aca="false">SUM(L4:L18)</f>
        <v>2394.9</v>
      </c>
      <c r="M19" s="9" t="n">
        <f aca="false">SUM(M4:M18)</f>
        <v>2845</v>
      </c>
      <c r="N19" s="9" t="n">
        <f aca="false">SUM(N4:N18)</f>
        <v>2639.6</v>
      </c>
      <c r="O19" s="16" t="n">
        <f aca="false">SUM(O4:O18)</f>
        <v>10766.2</v>
      </c>
    </row>
  </sheetData>
  <mergeCells count="12"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16" min="5" style="0" width="13"/>
  </cols>
  <sheetData>
    <row r="1" customFormat="false" ht="30" hidden="false" customHeight="true" outlineLevel="0" collapsed="false">
      <c r="A1" s="17" t="s">
        <v>77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1.75" hidden="false" customHeight="true" outlineLevel="0" collapsed="false">
      <c r="A2" s="18" t="s">
        <v>78</v>
      </c>
      <c r="B2" s="18" t="s">
        <v>2</v>
      </c>
      <c r="C2" s="18" t="s">
        <v>3</v>
      </c>
      <c r="D2" s="18" t="s">
        <v>4</v>
      </c>
      <c r="E2" s="18" t="s">
        <v>5</v>
      </c>
      <c r="F2" s="18"/>
      <c r="G2" s="18" t="s">
        <v>6</v>
      </c>
      <c r="H2" s="18"/>
      <c r="I2" s="18" t="s">
        <v>7</v>
      </c>
      <c r="J2" s="18"/>
      <c r="K2" s="18" t="s">
        <v>8</v>
      </c>
      <c r="L2" s="18"/>
      <c r="M2" s="18" t="s">
        <v>9</v>
      </c>
      <c r="N2" s="18"/>
      <c r="O2" s="18" t="s">
        <v>10</v>
      </c>
    </row>
    <row r="3" customFormat="false" ht="21.75" hidden="false" customHeight="true" outlineLevel="0" collapsed="false">
      <c r="A3" s="18"/>
      <c r="B3" s="18"/>
      <c r="C3" s="18"/>
      <c r="D3" s="18"/>
      <c r="E3" s="18" t="s">
        <v>12</v>
      </c>
      <c r="F3" s="18" t="s">
        <v>13</v>
      </c>
      <c r="G3" s="18" t="s">
        <v>12</v>
      </c>
      <c r="H3" s="18" t="s">
        <v>13</v>
      </c>
      <c r="I3" s="18" t="s">
        <v>12</v>
      </c>
      <c r="J3" s="18" t="s">
        <v>13</v>
      </c>
      <c r="K3" s="18" t="s">
        <v>12</v>
      </c>
      <c r="L3" s="18" t="s">
        <v>13</v>
      </c>
      <c r="M3" s="18" t="s">
        <v>12</v>
      </c>
      <c r="N3" s="18" t="s">
        <v>13</v>
      </c>
      <c r="O3" s="18"/>
    </row>
    <row r="4" customFormat="false" ht="18" hidden="false" customHeight="true" outlineLevel="0" collapsed="false">
      <c r="A4" s="19" t="s">
        <v>79</v>
      </c>
      <c r="B4" s="19" t="s">
        <v>80</v>
      </c>
      <c r="C4" s="19" t="s">
        <v>35</v>
      </c>
      <c r="D4" s="20" t="n">
        <v>0.75</v>
      </c>
      <c r="E4" s="20" t="n">
        <v>210</v>
      </c>
      <c r="F4" s="20" t="n">
        <f aca="false">E4*D4</f>
        <v>157.5</v>
      </c>
      <c r="G4" s="20" t="n">
        <v>235</v>
      </c>
      <c r="H4" s="20" t="n">
        <f aca="false">G4*D4</f>
        <v>176.25</v>
      </c>
      <c r="I4" s="20" t="n">
        <v>260</v>
      </c>
      <c r="J4" s="20" t="n">
        <f aca="false">I4*D4</f>
        <v>195</v>
      </c>
      <c r="K4" s="20" t="n">
        <v>285</v>
      </c>
      <c r="L4" s="20" t="n">
        <f aca="false">K4*D4</f>
        <v>213.75</v>
      </c>
      <c r="M4" s="20" t="n">
        <v>315</v>
      </c>
      <c r="N4" s="20" t="n">
        <f aca="false">M4*D4</f>
        <v>236.25</v>
      </c>
      <c r="O4" s="20" t="n">
        <f aca="false">SUM(F4,H4,J4,L4,N4)</f>
        <v>978.75</v>
      </c>
    </row>
    <row r="5" customFormat="false" ht="18" hidden="false" customHeight="true" outlineLevel="0" collapsed="false">
      <c r="A5" s="5" t="s">
        <v>79</v>
      </c>
      <c r="B5" s="5" t="s">
        <v>81</v>
      </c>
      <c r="C5" s="5" t="s">
        <v>31</v>
      </c>
      <c r="D5" s="6" t="n">
        <v>0.8</v>
      </c>
      <c r="E5" s="6" t="n">
        <v>120</v>
      </c>
      <c r="F5" s="6" t="n">
        <f aca="false">E5*D5</f>
        <v>96</v>
      </c>
      <c r="G5" s="6" t="n">
        <v>135</v>
      </c>
      <c r="H5" s="6" t="n">
        <f aca="false">G5*D5</f>
        <v>108</v>
      </c>
      <c r="I5" s="6" t="n">
        <v>150</v>
      </c>
      <c r="J5" s="6" t="n">
        <f aca="false">I5*D5</f>
        <v>120</v>
      </c>
      <c r="K5" s="6" t="n">
        <v>168</v>
      </c>
      <c r="L5" s="6" t="n">
        <f aca="false">K5*D5</f>
        <v>134.4</v>
      </c>
      <c r="M5" s="6" t="n">
        <v>185</v>
      </c>
      <c r="N5" s="6" t="n">
        <f aca="false">M5*D5</f>
        <v>148</v>
      </c>
      <c r="O5" s="6" t="n">
        <f aca="false">SUM(F5,H5,J5,L5,N5)</f>
        <v>606.4</v>
      </c>
    </row>
    <row r="6" customFormat="false" ht="18" hidden="false" customHeight="true" outlineLevel="0" collapsed="false">
      <c r="A6" s="19" t="s">
        <v>82</v>
      </c>
      <c r="B6" s="19" t="s">
        <v>83</v>
      </c>
      <c r="C6" s="19" t="s">
        <v>29</v>
      </c>
      <c r="D6" s="20" t="n">
        <v>0.7</v>
      </c>
      <c r="E6" s="20" t="n">
        <v>180</v>
      </c>
      <c r="F6" s="20" t="n">
        <f aca="false">E6*D6</f>
        <v>126</v>
      </c>
      <c r="G6" s="20" t="n">
        <v>200</v>
      </c>
      <c r="H6" s="20" t="n">
        <f aca="false">G6*D6</f>
        <v>140</v>
      </c>
      <c r="I6" s="20" t="n">
        <v>220</v>
      </c>
      <c r="J6" s="20" t="n">
        <f aca="false">I6*D6</f>
        <v>154</v>
      </c>
      <c r="K6" s="20" t="n">
        <v>245</v>
      </c>
      <c r="L6" s="20" t="n">
        <f aca="false">K6*D6</f>
        <v>171.5</v>
      </c>
      <c r="M6" s="20" t="n">
        <v>270</v>
      </c>
      <c r="N6" s="20" t="n">
        <f aca="false">M6*D6</f>
        <v>189</v>
      </c>
      <c r="O6" s="20" t="n">
        <f aca="false">SUM(F6,H6,J6,L6,N6)</f>
        <v>780.5</v>
      </c>
    </row>
    <row r="7" customFormat="false" ht="18" hidden="false" customHeight="true" outlineLevel="0" collapsed="false">
      <c r="A7" s="5" t="s">
        <v>84</v>
      </c>
      <c r="B7" s="5" t="s">
        <v>85</v>
      </c>
      <c r="C7" s="5" t="s">
        <v>16</v>
      </c>
      <c r="D7" s="6" t="n">
        <v>0.5</v>
      </c>
      <c r="E7" s="6" t="n">
        <v>45</v>
      </c>
      <c r="F7" s="6" t="n">
        <f aca="false">E7*D7</f>
        <v>22.5</v>
      </c>
      <c r="G7" s="6" t="n">
        <v>55</v>
      </c>
      <c r="H7" s="6" t="n">
        <f aca="false">G7*D7</f>
        <v>27.5</v>
      </c>
      <c r="I7" s="6" t="n">
        <v>65</v>
      </c>
      <c r="J7" s="6" t="n">
        <f aca="false">I7*D7</f>
        <v>32.5</v>
      </c>
      <c r="K7" s="6" t="n">
        <v>75</v>
      </c>
      <c r="L7" s="6" t="n">
        <f aca="false">K7*D7</f>
        <v>37.5</v>
      </c>
      <c r="M7" s="6" t="n">
        <v>85</v>
      </c>
      <c r="N7" s="6" t="n">
        <f aca="false">M7*D7</f>
        <v>42.5</v>
      </c>
      <c r="O7" s="6" t="n">
        <f aca="false">SUM(F7,H7,J7,L7,N7)</f>
        <v>162.5</v>
      </c>
    </row>
    <row r="8" customFormat="false" ht="18" hidden="false" customHeight="true" outlineLevel="0" collapsed="false">
      <c r="A8" s="19" t="s">
        <v>86</v>
      </c>
      <c r="B8" s="19" t="s">
        <v>87</v>
      </c>
      <c r="C8" s="19" t="s">
        <v>29</v>
      </c>
      <c r="D8" s="20" t="n">
        <v>0.35</v>
      </c>
      <c r="E8" s="20" t="n">
        <v>95</v>
      </c>
      <c r="F8" s="20" t="n">
        <f aca="false">E8*D8</f>
        <v>33.25</v>
      </c>
      <c r="G8" s="20" t="n">
        <v>110</v>
      </c>
      <c r="H8" s="20" t="n">
        <f aca="false">G8*D8</f>
        <v>38.5</v>
      </c>
      <c r="I8" s="20" t="n">
        <v>125</v>
      </c>
      <c r="J8" s="20" t="n">
        <f aca="false">I8*D8</f>
        <v>43.75</v>
      </c>
      <c r="K8" s="20" t="n">
        <v>140</v>
      </c>
      <c r="L8" s="20" t="n">
        <f aca="false">K8*D8</f>
        <v>49</v>
      </c>
      <c r="M8" s="20" t="n">
        <v>155</v>
      </c>
      <c r="N8" s="20" t="n">
        <f aca="false">M8*D8</f>
        <v>54.25</v>
      </c>
      <c r="O8" s="20" t="n">
        <f aca="false">SUM(F8,H8,J8,L8,N8)</f>
        <v>218.75</v>
      </c>
    </row>
    <row r="9" customFormat="false" ht="18" hidden="false" customHeight="true" outlineLevel="0" collapsed="false">
      <c r="A9" s="5" t="s">
        <v>88</v>
      </c>
      <c r="B9" s="5" t="s">
        <v>89</v>
      </c>
      <c r="C9" s="5" t="s">
        <v>35</v>
      </c>
      <c r="D9" s="6" t="n">
        <v>0.5</v>
      </c>
      <c r="E9" s="6" t="n">
        <v>130</v>
      </c>
      <c r="F9" s="6" t="n">
        <f aca="false">E9*D9</f>
        <v>65</v>
      </c>
      <c r="G9" s="6" t="n">
        <v>145</v>
      </c>
      <c r="H9" s="6" t="n">
        <f aca="false">G9*D9</f>
        <v>72.5</v>
      </c>
      <c r="I9" s="6" t="n">
        <v>162</v>
      </c>
      <c r="J9" s="6" t="n">
        <f aca="false">I9*D9</f>
        <v>81</v>
      </c>
      <c r="K9" s="6" t="n">
        <v>180</v>
      </c>
      <c r="L9" s="6" t="n">
        <f aca="false">K9*D9</f>
        <v>90</v>
      </c>
      <c r="M9" s="6" t="n">
        <v>198</v>
      </c>
      <c r="N9" s="6" t="n">
        <f aca="false">M9*D9</f>
        <v>99</v>
      </c>
      <c r="O9" s="6" t="n">
        <f aca="false">SUM(F9,H9,J9,L9,N9)</f>
        <v>407.5</v>
      </c>
    </row>
    <row r="10" customFormat="false" ht="18" hidden="false" customHeight="true" outlineLevel="0" collapsed="false">
      <c r="A10" s="19" t="s">
        <v>90</v>
      </c>
      <c r="B10" s="19" t="s">
        <v>91</v>
      </c>
      <c r="C10" s="19" t="s">
        <v>35</v>
      </c>
      <c r="D10" s="20" t="n">
        <v>0.6</v>
      </c>
      <c r="E10" s="20" t="n">
        <v>75</v>
      </c>
      <c r="F10" s="20" t="n">
        <f aca="false">E10*D10</f>
        <v>45</v>
      </c>
      <c r="G10" s="20" t="n">
        <v>88</v>
      </c>
      <c r="H10" s="20" t="n">
        <f aca="false">G10*D10</f>
        <v>52.8</v>
      </c>
      <c r="I10" s="20" t="n">
        <v>100</v>
      </c>
      <c r="J10" s="20" t="n">
        <f aca="false">I10*D10</f>
        <v>60</v>
      </c>
      <c r="K10" s="20" t="n">
        <v>115</v>
      </c>
      <c r="L10" s="20" t="n">
        <f aca="false">K10*D10</f>
        <v>69</v>
      </c>
      <c r="M10" s="20" t="n">
        <v>128</v>
      </c>
      <c r="N10" s="20" t="n">
        <f aca="false">M10*D10</f>
        <v>76.8</v>
      </c>
      <c r="O10" s="20" t="n">
        <f aca="false">SUM(F10,H10,J10,L10,N10)</f>
        <v>303.6</v>
      </c>
    </row>
    <row r="11" customFormat="false" ht="18" hidden="false" customHeight="true" outlineLevel="0" collapsed="false">
      <c r="A11" s="5" t="s">
        <v>92</v>
      </c>
      <c r="B11" s="5" t="s">
        <v>93</v>
      </c>
      <c r="C11" s="5" t="s">
        <v>18</v>
      </c>
      <c r="D11" s="6" t="n">
        <v>0.8</v>
      </c>
      <c r="E11" s="6" t="n">
        <v>55</v>
      </c>
      <c r="F11" s="6" t="n">
        <f aca="false">E11*D11</f>
        <v>44</v>
      </c>
      <c r="G11" s="6" t="n">
        <v>65</v>
      </c>
      <c r="H11" s="6" t="n">
        <f aca="false">G11*D11</f>
        <v>52</v>
      </c>
      <c r="I11" s="6" t="n">
        <v>75</v>
      </c>
      <c r="J11" s="6" t="n">
        <f aca="false">I11*D11</f>
        <v>60</v>
      </c>
      <c r="K11" s="6" t="n">
        <v>85</v>
      </c>
      <c r="L11" s="6" t="n">
        <f aca="false">K11*D11</f>
        <v>68</v>
      </c>
      <c r="M11" s="6" t="n">
        <v>95</v>
      </c>
      <c r="N11" s="6" t="n">
        <f aca="false">M11*D11</f>
        <v>76</v>
      </c>
      <c r="O11" s="6" t="n">
        <f aca="false">SUM(F11,H11,J11,L11,N11)</f>
        <v>300</v>
      </c>
    </row>
    <row r="12" customFormat="false" ht="18" hidden="false" customHeight="true" outlineLevel="0" collapsed="false">
      <c r="A12" s="19" t="s">
        <v>94</v>
      </c>
      <c r="B12" s="19" t="s">
        <v>95</v>
      </c>
      <c r="C12" s="19" t="s">
        <v>16</v>
      </c>
      <c r="D12" s="20" t="n">
        <v>0.9</v>
      </c>
      <c r="E12" s="20" t="n">
        <v>160</v>
      </c>
      <c r="F12" s="20" t="n">
        <f aca="false">E12*D12</f>
        <v>144</v>
      </c>
      <c r="G12" s="20" t="n">
        <v>175</v>
      </c>
      <c r="H12" s="20" t="n">
        <f aca="false">G12*D12</f>
        <v>157.5</v>
      </c>
      <c r="I12" s="20" t="n">
        <v>190</v>
      </c>
      <c r="J12" s="20" t="n">
        <f aca="false">I12*D12</f>
        <v>171</v>
      </c>
      <c r="K12" s="20" t="n">
        <v>210</v>
      </c>
      <c r="L12" s="20" t="n">
        <f aca="false">K12*D12</f>
        <v>189</v>
      </c>
      <c r="M12" s="20" t="n">
        <v>230</v>
      </c>
      <c r="N12" s="20" t="n">
        <f aca="false">M12*D12</f>
        <v>207</v>
      </c>
      <c r="O12" s="20" t="n">
        <f aca="false">SUM(F12,H12,J12,L12,N12)</f>
        <v>868.5</v>
      </c>
    </row>
    <row r="13" customFormat="false" ht="18" hidden="false" customHeight="true" outlineLevel="0" collapsed="false">
      <c r="A13" s="5" t="s">
        <v>96</v>
      </c>
      <c r="B13" s="5" t="s">
        <v>97</v>
      </c>
      <c r="C13" s="5" t="s">
        <v>18</v>
      </c>
      <c r="D13" s="6" t="n">
        <v>0.6</v>
      </c>
      <c r="E13" s="6" t="n">
        <v>40</v>
      </c>
      <c r="F13" s="6" t="n">
        <f aca="false">E13*D13</f>
        <v>24</v>
      </c>
      <c r="G13" s="6" t="n">
        <v>48</v>
      </c>
      <c r="H13" s="6" t="n">
        <f aca="false">G13*D13</f>
        <v>28.8</v>
      </c>
      <c r="I13" s="6" t="n">
        <v>56</v>
      </c>
      <c r="J13" s="6" t="n">
        <f aca="false">I13*D13</f>
        <v>33.6</v>
      </c>
      <c r="K13" s="6" t="n">
        <v>65</v>
      </c>
      <c r="L13" s="6" t="n">
        <f aca="false">K13*D13</f>
        <v>39</v>
      </c>
      <c r="M13" s="6" t="n">
        <v>74</v>
      </c>
      <c r="N13" s="6" t="n">
        <f aca="false">M13*D13</f>
        <v>44.4</v>
      </c>
      <c r="O13" s="6" t="n">
        <f aca="false">SUM(F13,H13,J13,L13,N13)</f>
        <v>169.8</v>
      </c>
    </row>
    <row r="14" customFormat="false" ht="15" hidden="false" customHeight="true" outlineLevel="0" collapsed="false">
      <c r="A14" s="15" t="s">
        <v>98</v>
      </c>
      <c r="B14" s="15"/>
      <c r="C14" s="15"/>
      <c r="E14" s="9" t="n">
        <f aca="false">SUM(E4:E13)</f>
        <v>1110</v>
      </c>
      <c r="F14" s="9" t="n">
        <f aca="false">SUM(F4:F13)</f>
        <v>757.25</v>
      </c>
      <c r="G14" s="9" t="n">
        <f aca="false">SUM(G4:G13)</f>
        <v>1256</v>
      </c>
      <c r="H14" s="9" t="n">
        <f aca="false">SUM(H4:H13)</f>
        <v>853.85</v>
      </c>
      <c r="I14" s="9" t="n">
        <f aca="false">SUM(I4:I13)</f>
        <v>1403</v>
      </c>
      <c r="J14" s="9" t="n">
        <f aca="false">SUM(J4:J13)</f>
        <v>950.85</v>
      </c>
      <c r="K14" s="9" t="n">
        <f aca="false">SUM(K4:K13)</f>
        <v>1568</v>
      </c>
      <c r="L14" s="9" t="n">
        <f aca="false">SUM(L4:L13)</f>
        <v>1061.15</v>
      </c>
      <c r="M14" s="9" t="n">
        <f aca="false">SUM(M4:M13)</f>
        <v>1735</v>
      </c>
      <c r="N14" s="9" t="n">
        <f aca="false">SUM(N4:N13)</f>
        <v>1173.2</v>
      </c>
      <c r="O14" s="16" t="n">
        <f aca="false">SUM(O4:O13)</f>
        <v>4796.3</v>
      </c>
    </row>
  </sheetData>
  <mergeCells count="12"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16" min="5" style="0" width="13"/>
  </cols>
  <sheetData>
    <row r="1" customFormat="false" ht="30" hidden="false" customHeight="true" outlineLevel="0" collapsed="false">
      <c r="A1" s="21" t="s">
        <v>99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customFormat="false" ht="21.75" hidden="false" customHeight="true" outlineLevel="0" collapsed="false">
      <c r="A2" s="22" t="s">
        <v>100</v>
      </c>
      <c r="B2" s="22" t="s">
        <v>101</v>
      </c>
      <c r="C2" s="22" t="s">
        <v>3</v>
      </c>
      <c r="D2" s="22" t="s">
        <v>4</v>
      </c>
      <c r="E2" s="22" t="s">
        <v>5</v>
      </c>
      <c r="F2" s="22"/>
      <c r="G2" s="22" t="s">
        <v>6</v>
      </c>
      <c r="H2" s="22"/>
      <c r="I2" s="22" t="s">
        <v>7</v>
      </c>
      <c r="J2" s="22"/>
      <c r="K2" s="22" t="s">
        <v>8</v>
      </c>
      <c r="L2" s="22"/>
      <c r="M2" s="22" t="s">
        <v>9</v>
      </c>
      <c r="N2" s="22"/>
      <c r="O2" s="22" t="s">
        <v>10</v>
      </c>
    </row>
    <row r="3" customFormat="false" ht="21.75" hidden="false" customHeight="true" outlineLevel="0" collapsed="false">
      <c r="A3" s="22"/>
      <c r="B3" s="22"/>
      <c r="C3" s="22"/>
      <c r="D3" s="22"/>
      <c r="E3" s="22" t="s">
        <v>12</v>
      </c>
      <c r="F3" s="22" t="s">
        <v>13</v>
      </c>
      <c r="G3" s="22" t="s">
        <v>12</v>
      </c>
      <c r="H3" s="22" t="s">
        <v>13</v>
      </c>
      <c r="I3" s="22" t="s">
        <v>12</v>
      </c>
      <c r="J3" s="22" t="s">
        <v>13</v>
      </c>
      <c r="K3" s="22" t="s">
        <v>12</v>
      </c>
      <c r="L3" s="22" t="s">
        <v>13</v>
      </c>
      <c r="M3" s="22" t="s">
        <v>12</v>
      </c>
      <c r="N3" s="22" t="s">
        <v>13</v>
      </c>
      <c r="O3" s="22"/>
    </row>
    <row r="4" customFormat="false" ht="18" hidden="false" customHeight="true" outlineLevel="0" collapsed="false">
      <c r="A4" s="23" t="s">
        <v>102</v>
      </c>
      <c r="B4" s="23" t="s">
        <v>103</v>
      </c>
      <c r="C4" s="23" t="s">
        <v>31</v>
      </c>
      <c r="D4" s="24" t="n">
        <v>1</v>
      </c>
      <c r="E4" s="24" t="n">
        <v>580</v>
      </c>
      <c r="F4" s="24" t="n">
        <f aca="false">E4*D4</f>
        <v>580</v>
      </c>
      <c r="G4" s="24" t="n">
        <v>640</v>
      </c>
      <c r="H4" s="24" t="n">
        <f aca="false">G4*D4</f>
        <v>640</v>
      </c>
      <c r="I4" s="24" t="n">
        <v>700</v>
      </c>
      <c r="J4" s="24" t="n">
        <f aca="false">I4*D4</f>
        <v>700</v>
      </c>
      <c r="K4" s="24" t="n">
        <v>760</v>
      </c>
      <c r="L4" s="24" t="n">
        <f aca="false">K4*D4</f>
        <v>760</v>
      </c>
      <c r="M4" s="24" t="n">
        <v>820</v>
      </c>
      <c r="N4" s="24" t="n">
        <f aca="false">M4*D4</f>
        <v>820</v>
      </c>
      <c r="O4" s="24" t="n">
        <f aca="false">SUM(F4,H4,J4,L4,N4)</f>
        <v>3500</v>
      </c>
    </row>
    <row r="5" customFormat="false" ht="18" hidden="false" customHeight="true" outlineLevel="0" collapsed="false">
      <c r="A5" s="5" t="s">
        <v>102</v>
      </c>
      <c r="B5" s="5" t="s">
        <v>104</v>
      </c>
      <c r="C5" s="5" t="s">
        <v>16</v>
      </c>
      <c r="D5" s="6" t="n">
        <v>1</v>
      </c>
      <c r="E5" s="6" t="n">
        <v>320</v>
      </c>
      <c r="F5" s="6" t="n">
        <f aca="false">E5*D5</f>
        <v>320</v>
      </c>
      <c r="G5" s="6" t="n">
        <v>360</v>
      </c>
      <c r="H5" s="6" t="n">
        <f aca="false">G5*D5</f>
        <v>360</v>
      </c>
      <c r="I5" s="6" t="n">
        <v>400</v>
      </c>
      <c r="J5" s="6" t="n">
        <f aca="false">I5*D5</f>
        <v>400</v>
      </c>
      <c r="K5" s="6" t="n">
        <v>440</v>
      </c>
      <c r="L5" s="6" t="n">
        <f aca="false">K5*D5</f>
        <v>440</v>
      </c>
      <c r="M5" s="6" t="n">
        <v>480</v>
      </c>
      <c r="N5" s="6" t="n">
        <f aca="false">M5*D5</f>
        <v>480</v>
      </c>
      <c r="O5" s="6" t="n">
        <f aca="false">SUM(F5,H5,J5,L5,N5)</f>
        <v>2000</v>
      </c>
    </row>
    <row r="6" customFormat="false" ht="18" hidden="false" customHeight="true" outlineLevel="0" collapsed="false">
      <c r="A6" s="23" t="s">
        <v>105</v>
      </c>
      <c r="B6" s="23" t="s">
        <v>106</v>
      </c>
      <c r="C6" s="23" t="s">
        <v>16</v>
      </c>
      <c r="D6" s="24" t="n">
        <v>1</v>
      </c>
      <c r="E6" s="24" t="n">
        <v>450</v>
      </c>
      <c r="F6" s="24" t="n">
        <f aca="false">E6*D6</f>
        <v>450</v>
      </c>
      <c r="G6" s="24" t="n">
        <v>500</v>
      </c>
      <c r="H6" s="24" t="n">
        <f aca="false">G6*D6</f>
        <v>500</v>
      </c>
      <c r="I6" s="24" t="n">
        <v>550</v>
      </c>
      <c r="J6" s="24" t="n">
        <f aca="false">I6*D6</f>
        <v>550</v>
      </c>
      <c r="K6" s="24" t="n">
        <v>600</v>
      </c>
      <c r="L6" s="24" t="n">
        <f aca="false">K6*D6</f>
        <v>600</v>
      </c>
      <c r="M6" s="24" t="n">
        <v>650</v>
      </c>
      <c r="N6" s="24" t="n">
        <f aca="false">M6*D6</f>
        <v>650</v>
      </c>
      <c r="O6" s="24" t="n">
        <f aca="false">SUM(F6,H6,J6,L6,N6)</f>
        <v>2750</v>
      </c>
    </row>
    <row r="7" customFormat="false" ht="18" hidden="false" customHeight="true" outlineLevel="0" collapsed="false">
      <c r="A7" s="5" t="s">
        <v>105</v>
      </c>
      <c r="B7" s="5" t="s">
        <v>107</v>
      </c>
      <c r="C7" s="5" t="s">
        <v>22</v>
      </c>
      <c r="D7" s="6" t="n">
        <v>1</v>
      </c>
      <c r="E7" s="6" t="n">
        <v>95</v>
      </c>
      <c r="F7" s="6" t="n">
        <f aca="false">E7*D7</f>
        <v>95</v>
      </c>
      <c r="G7" s="6" t="n">
        <v>110</v>
      </c>
      <c r="H7" s="6" t="n">
        <f aca="false">G7*D7</f>
        <v>110</v>
      </c>
      <c r="I7" s="6" t="n">
        <v>125</v>
      </c>
      <c r="J7" s="6" t="n">
        <f aca="false">I7*D7</f>
        <v>125</v>
      </c>
      <c r="K7" s="6" t="n">
        <v>140</v>
      </c>
      <c r="L7" s="6" t="n">
        <f aca="false">K7*D7</f>
        <v>140</v>
      </c>
      <c r="M7" s="6" t="n">
        <v>158</v>
      </c>
      <c r="N7" s="6" t="n">
        <f aca="false">M7*D7</f>
        <v>158</v>
      </c>
      <c r="O7" s="6" t="n">
        <f aca="false">SUM(F7,H7,J7,L7,N7)</f>
        <v>628</v>
      </c>
    </row>
    <row r="8" customFormat="false" ht="18" hidden="false" customHeight="true" outlineLevel="0" collapsed="false">
      <c r="A8" s="23" t="s">
        <v>108</v>
      </c>
      <c r="B8" s="23" t="s">
        <v>109</v>
      </c>
      <c r="C8" s="23" t="s">
        <v>29</v>
      </c>
      <c r="D8" s="24" t="n">
        <v>0.85</v>
      </c>
      <c r="E8" s="24" t="n">
        <v>280</v>
      </c>
      <c r="F8" s="24" t="n">
        <f aca="false">E8*D8</f>
        <v>238</v>
      </c>
      <c r="G8" s="24" t="n">
        <v>315</v>
      </c>
      <c r="H8" s="24" t="n">
        <f aca="false">G8*D8</f>
        <v>267.75</v>
      </c>
      <c r="I8" s="24" t="n">
        <v>350</v>
      </c>
      <c r="J8" s="24" t="n">
        <f aca="false">I8*D8</f>
        <v>297.5</v>
      </c>
      <c r="K8" s="24" t="n">
        <v>385</v>
      </c>
      <c r="L8" s="24" t="n">
        <f aca="false">K8*D8</f>
        <v>327.25</v>
      </c>
      <c r="M8" s="24" t="n">
        <v>420</v>
      </c>
      <c r="N8" s="24" t="n">
        <f aca="false">M8*D8</f>
        <v>357</v>
      </c>
      <c r="O8" s="24" t="n">
        <f aca="false">SUM(F8,H8,J8,L8,N8)</f>
        <v>1487.5</v>
      </c>
    </row>
    <row r="9" customFormat="false" ht="18" hidden="false" customHeight="true" outlineLevel="0" collapsed="false">
      <c r="A9" s="5" t="s">
        <v>108</v>
      </c>
      <c r="B9" s="5" t="s">
        <v>110</v>
      </c>
      <c r="C9" s="5" t="s">
        <v>35</v>
      </c>
      <c r="D9" s="6" t="n">
        <v>0.8</v>
      </c>
      <c r="E9" s="6" t="n">
        <v>120</v>
      </c>
      <c r="F9" s="6" t="n">
        <f aca="false">E9*D9</f>
        <v>96</v>
      </c>
      <c r="G9" s="6" t="n">
        <v>138</v>
      </c>
      <c r="H9" s="6" t="n">
        <f aca="false">G9*D9</f>
        <v>110.4</v>
      </c>
      <c r="I9" s="6" t="n">
        <v>155</v>
      </c>
      <c r="J9" s="6" t="n">
        <f aca="false">I9*D9</f>
        <v>124</v>
      </c>
      <c r="K9" s="6" t="n">
        <v>172</v>
      </c>
      <c r="L9" s="6" t="n">
        <f aca="false">K9*D9</f>
        <v>137.6</v>
      </c>
      <c r="M9" s="6" t="n">
        <v>190</v>
      </c>
      <c r="N9" s="6" t="n">
        <f aca="false">M9*D9</f>
        <v>152</v>
      </c>
      <c r="O9" s="6" t="n">
        <f aca="false">SUM(F9,H9,J9,L9,N9)</f>
        <v>620</v>
      </c>
    </row>
    <row r="10" customFormat="false" ht="18" hidden="false" customHeight="true" outlineLevel="0" collapsed="false">
      <c r="A10" s="23" t="s">
        <v>111</v>
      </c>
      <c r="B10" s="23" t="s">
        <v>112</v>
      </c>
      <c r="C10" s="23" t="s">
        <v>29</v>
      </c>
      <c r="D10" s="24" t="n">
        <v>0.9</v>
      </c>
      <c r="E10" s="24" t="n">
        <v>220</v>
      </c>
      <c r="F10" s="24" t="n">
        <f aca="false">E10*D10</f>
        <v>198</v>
      </c>
      <c r="G10" s="24" t="n">
        <v>248</v>
      </c>
      <c r="H10" s="24" t="n">
        <f aca="false">G10*D10</f>
        <v>223.2</v>
      </c>
      <c r="I10" s="24" t="n">
        <v>275</v>
      </c>
      <c r="J10" s="24" t="n">
        <f aca="false">I10*D10</f>
        <v>247.5</v>
      </c>
      <c r="K10" s="24" t="n">
        <v>305</v>
      </c>
      <c r="L10" s="24" t="n">
        <f aca="false">K10*D10</f>
        <v>274.5</v>
      </c>
      <c r="M10" s="24" t="n">
        <v>335</v>
      </c>
      <c r="N10" s="24" t="n">
        <f aca="false">M10*D10</f>
        <v>301.5</v>
      </c>
      <c r="O10" s="24" t="n">
        <f aca="false">SUM(F10,H10,J10,L10,N10)</f>
        <v>1244.7</v>
      </c>
    </row>
    <row r="11" customFormat="false" ht="18" hidden="false" customHeight="true" outlineLevel="0" collapsed="false">
      <c r="A11" s="5" t="s">
        <v>111</v>
      </c>
      <c r="B11" s="5" t="s">
        <v>113</v>
      </c>
      <c r="C11" s="5" t="s">
        <v>22</v>
      </c>
      <c r="D11" s="6" t="n">
        <v>0.7</v>
      </c>
      <c r="E11" s="6" t="n">
        <v>85</v>
      </c>
      <c r="F11" s="6" t="n">
        <f aca="false">E11*D11</f>
        <v>59.5</v>
      </c>
      <c r="G11" s="6" t="n">
        <v>98</v>
      </c>
      <c r="H11" s="6" t="n">
        <f aca="false">G11*D11</f>
        <v>68.6</v>
      </c>
      <c r="I11" s="6" t="n">
        <v>112</v>
      </c>
      <c r="J11" s="6" t="n">
        <f aca="false">I11*D11</f>
        <v>78.4</v>
      </c>
      <c r="K11" s="6" t="n">
        <v>125</v>
      </c>
      <c r="L11" s="6" t="n">
        <f aca="false">K11*D11</f>
        <v>87.5</v>
      </c>
      <c r="M11" s="6" t="n">
        <v>140</v>
      </c>
      <c r="N11" s="6" t="n">
        <f aca="false">M11*D11</f>
        <v>98</v>
      </c>
      <c r="O11" s="6" t="n">
        <f aca="false">SUM(F11,H11,J11,L11,N11)</f>
        <v>392</v>
      </c>
    </row>
    <row r="12" customFormat="false" ht="18" hidden="false" customHeight="true" outlineLevel="0" collapsed="false">
      <c r="A12" s="23" t="s">
        <v>114</v>
      </c>
      <c r="B12" s="23" t="s">
        <v>115</v>
      </c>
      <c r="C12" s="23" t="s">
        <v>16</v>
      </c>
      <c r="D12" s="24" t="n">
        <v>1</v>
      </c>
      <c r="E12" s="24" t="n">
        <v>380</v>
      </c>
      <c r="F12" s="24" t="n">
        <f aca="false">E12*D12</f>
        <v>380</v>
      </c>
      <c r="G12" s="24" t="n">
        <v>420</v>
      </c>
      <c r="H12" s="24" t="n">
        <f aca="false">G12*D12</f>
        <v>420</v>
      </c>
      <c r="I12" s="24" t="n">
        <v>460</v>
      </c>
      <c r="J12" s="24" t="n">
        <f aca="false">I12*D12</f>
        <v>460</v>
      </c>
      <c r="K12" s="24" t="n">
        <v>500</v>
      </c>
      <c r="L12" s="24" t="n">
        <f aca="false">K12*D12</f>
        <v>500</v>
      </c>
      <c r="M12" s="24" t="n">
        <v>545</v>
      </c>
      <c r="N12" s="24" t="n">
        <f aca="false">M12*D12</f>
        <v>545</v>
      </c>
      <c r="O12" s="24" t="n">
        <f aca="false">SUM(F12,H12,J12,L12,N12)</f>
        <v>2305</v>
      </c>
    </row>
    <row r="13" customFormat="false" ht="18" hidden="false" customHeight="true" outlineLevel="0" collapsed="false">
      <c r="A13" s="5" t="s">
        <v>114</v>
      </c>
      <c r="B13" s="5" t="s">
        <v>116</v>
      </c>
      <c r="C13" s="5" t="s">
        <v>20</v>
      </c>
      <c r="D13" s="6" t="n">
        <v>0.75</v>
      </c>
      <c r="E13" s="6" t="n">
        <v>110</v>
      </c>
      <c r="F13" s="6" t="n">
        <f aca="false">E13*D13</f>
        <v>82.5</v>
      </c>
      <c r="G13" s="6" t="n">
        <v>125</v>
      </c>
      <c r="H13" s="6" t="n">
        <f aca="false">G13*D13</f>
        <v>93.75</v>
      </c>
      <c r="I13" s="6" t="n">
        <v>140</v>
      </c>
      <c r="J13" s="6" t="n">
        <f aca="false">I13*D13</f>
        <v>105</v>
      </c>
      <c r="K13" s="6" t="n">
        <v>158</v>
      </c>
      <c r="L13" s="6" t="n">
        <f aca="false">K13*D13</f>
        <v>118.5</v>
      </c>
      <c r="M13" s="6" t="n">
        <v>175</v>
      </c>
      <c r="N13" s="6" t="n">
        <f aca="false">M13*D13</f>
        <v>131.25</v>
      </c>
      <c r="O13" s="6" t="n">
        <f aca="false">SUM(F13,H13,J13,L13,N13)</f>
        <v>531</v>
      </c>
    </row>
    <row r="14" customFormat="false" ht="18" hidden="false" customHeight="true" outlineLevel="0" collapsed="false">
      <c r="A14" s="23" t="s">
        <v>117</v>
      </c>
      <c r="B14" s="23" t="s">
        <v>118</v>
      </c>
      <c r="C14" s="23" t="s">
        <v>16</v>
      </c>
      <c r="D14" s="24" t="n">
        <v>1</v>
      </c>
      <c r="E14" s="24" t="n">
        <v>260</v>
      </c>
      <c r="F14" s="24" t="n">
        <f aca="false">E14*D14</f>
        <v>260</v>
      </c>
      <c r="G14" s="24" t="n">
        <v>290</v>
      </c>
      <c r="H14" s="24" t="n">
        <f aca="false">G14*D14</f>
        <v>290</v>
      </c>
      <c r="I14" s="24" t="n">
        <v>320</v>
      </c>
      <c r="J14" s="24" t="n">
        <f aca="false">I14*D14</f>
        <v>320</v>
      </c>
      <c r="K14" s="24" t="n">
        <v>352</v>
      </c>
      <c r="L14" s="24" t="n">
        <f aca="false">K14*D14</f>
        <v>352</v>
      </c>
      <c r="M14" s="24" t="n">
        <v>385</v>
      </c>
      <c r="N14" s="24" t="n">
        <f aca="false">M14*D14</f>
        <v>385</v>
      </c>
      <c r="O14" s="24" t="n">
        <f aca="false">SUM(F14,H14,J14,L14,N14)</f>
        <v>1607</v>
      </c>
    </row>
    <row r="15" customFormat="false" ht="18" hidden="false" customHeight="true" outlineLevel="0" collapsed="false">
      <c r="A15" s="5" t="s">
        <v>117</v>
      </c>
      <c r="B15" s="5" t="s">
        <v>119</v>
      </c>
      <c r="C15" s="5" t="s">
        <v>31</v>
      </c>
      <c r="D15" s="6" t="n">
        <v>0.9</v>
      </c>
      <c r="E15" s="6" t="n">
        <v>140</v>
      </c>
      <c r="F15" s="6" t="n">
        <f aca="false">E15*D15</f>
        <v>126</v>
      </c>
      <c r="G15" s="6" t="n">
        <v>158</v>
      </c>
      <c r="H15" s="6" t="n">
        <f aca="false">G15*D15</f>
        <v>142.2</v>
      </c>
      <c r="I15" s="6" t="n">
        <v>175</v>
      </c>
      <c r="J15" s="6" t="n">
        <f aca="false">I15*D15</f>
        <v>157.5</v>
      </c>
      <c r="K15" s="6" t="n">
        <v>195</v>
      </c>
      <c r="L15" s="6" t="n">
        <f aca="false">K15*D15</f>
        <v>175.5</v>
      </c>
      <c r="M15" s="6" t="n">
        <v>215</v>
      </c>
      <c r="N15" s="6" t="n">
        <f aca="false">M15*D15</f>
        <v>193.5</v>
      </c>
      <c r="O15" s="6" t="n">
        <f aca="false">SUM(F15,H15,J15,L15,N15)</f>
        <v>794.7</v>
      </c>
    </row>
    <row r="16" customFormat="false" ht="18" hidden="false" customHeight="true" outlineLevel="0" collapsed="false">
      <c r="A16" s="23" t="s">
        <v>120</v>
      </c>
      <c r="B16" s="23" t="s">
        <v>121</v>
      </c>
      <c r="C16" s="23" t="s">
        <v>22</v>
      </c>
      <c r="D16" s="24" t="n">
        <v>0.8</v>
      </c>
      <c r="E16" s="24" t="n">
        <v>75</v>
      </c>
      <c r="F16" s="24" t="n">
        <f aca="false">E16*D16</f>
        <v>60</v>
      </c>
      <c r="G16" s="24" t="n">
        <v>88</v>
      </c>
      <c r="H16" s="24" t="n">
        <f aca="false">G16*D16</f>
        <v>70.4</v>
      </c>
      <c r="I16" s="24" t="n">
        <v>100</v>
      </c>
      <c r="J16" s="24" t="n">
        <f aca="false">I16*D16</f>
        <v>80</v>
      </c>
      <c r="K16" s="24" t="n">
        <v>115</v>
      </c>
      <c r="L16" s="24" t="n">
        <f aca="false">K16*D16</f>
        <v>92</v>
      </c>
      <c r="M16" s="24" t="n">
        <v>128</v>
      </c>
      <c r="N16" s="24" t="n">
        <f aca="false">M16*D16</f>
        <v>102.4</v>
      </c>
      <c r="O16" s="24" t="n">
        <f aca="false">SUM(F16,H16,J16,L16,N16)</f>
        <v>404.8</v>
      </c>
    </row>
    <row r="17" customFormat="false" ht="18" hidden="false" customHeight="true" outlineLevel="0" collapsed="false">
      <c r="A17" s="5" t="s">
        <v>120</v>
      </c>
      <c r="B17" s="5" t="s">
        <v>122</v>
      </c>
      <c r="C17" s="5" t="s">
        <v>18</v>
      </c>
      <c r="D17" s="6" t="n">
        <v>0.75</v>
      </c>
      <c r="E17" s="6" t="n">
        <v>60</v>
      </c>
      <c r="F17" s="6" t="n">
        <f aca="false">E17*D17</f>
        <v>45</v>
      </c>
      <c r="G17" s="6" t="n">
        <v>70</v>
      </c>
      <c r="H17" s="6" t="n">
        <f aca="false">G17*D17</f>
        <v>52.5</v>
      </c>
      <c r="I17" s="6" t="n">
        <v>80</v>
      </c>
      <c r="J17" s="6" t="n">
        <f aca="false">I17*D17</f>
        <v>60</v>
      </c>
      <c r="K17" s="6" t="n">
        <v>92</v>
      </c>
      <c r="L17" s="6" t="n">
        <f aca="false">K17*D17</f>
        <v>69</v>
      </c>
      <c r="M17" s="6" t="n">
        <v>105</v>
      </c>
      <c r="N17" s="6" t="n">
        <f aca="false">M17*D17</f>
        <v>78.75</v>
      </c>
      <c r="O17" s="6" t="n">
        <f aca="false">SUM(F17,H17,J17,L17,N17)</f>
        <v>305.25</v>
      </c>
    </row>
    <row r="18" customFormat="false" ht="15" hidden="false" customHeight="true" outlineLevel="0" collapsed="false">
      <c r="A18" s="15" t="s">
        <v>123</v>
      </c>
      <c r="B18" s="15"/>
      <c r="C18" s="15"/>
      <c r="E18" s="9" t="n">
        <f aca="false">SUM(E4:E17)</f>
        <v>3175</v>
      </c>
      <c r="F18" s="9" t="n">
        <f aca="false">SUM(F4:F17)</f>
        <v>2990</v>
      </c>
      <c r="G18" s="9" t="n">
        <f aca="false">SUM(G4:G17)</f>
        <v>3560</v>
      </c>
      <c r="H18" s="9" t="n">
        <f aca="false">SUM(H4:H17)</f>
        <v>3348.8</v>
      </c>
      <c r="I18" s="9" t="n">
        <f aca="false">SUM(I4:I17)</f>
        <v>3942</v>
      </c>
      <c r="J18" s="9" t="n">
        <f aca="false">SUM(J4:J17)</f>
        <v>3704.9</v>
      </c>
      <c r="K18" s="9" t="n">
        <f aca="false">SUM(K4:K17)</f>
        <v>4339</v>
      </c>
      <c r="L18" s="9" t="n">
        <f aca="false">SUM(L4:L17)</f>
        <v>4073.85</v>
      </c>
      <c r="M18" s="9" t="n">
        <f aca="false">SUM(M4:M17)</f>
        <v>4746</v>
      </c>
      <c r="N18" s="9" t="n">
        <f aca="false">SUM(N4:N17)</f>
        <v>4452.4</v>
      </c>
      <c r="O18" s="16" t="n">
        <f aca="false">SUM(O4:O17)</f>
        <v>18569.95</v>
      </c>
    </row>
  </sheetData>
  <mergeCells count="12"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8"/>
  </cols>
  <sheetData>
    <row r="1" customFormat="false" ht="27.75" hidden="false" customHeight="true" outlineLevel="0" collapsed="false">
      <c r="A1" s="25" t="s">
        <v>124</v>
      </c>
      <c r="B1" s="25"/>
      <c r="C1" s="25"/>
      <c r="D1" s="25"/>
      <c r="E1" s="25"/>
      <c r="F1" s="25"/>
      <c r="G1" s="25"/>
      <c r="H1" s="25"/>
    </row>
    <row r="2" customFormat="false" ht="21.75" hidden="false" customHeight="true" outlineLevel="0" collapsed="false">
      <c r="A2" s="2" t="s">
        <v>125</v>
      </c>
      <c r="B2" s="2" t="s">
        <v>126</v>
      </c>
      <c r="C2" s="2" t="s">
        <v>127</v>
      </c>
      <c r="D2" s="2" t="s">
        <v>3</v>
      </c>
      <c r="E2" s="2" t="s">
        <v>4</v>
      </c>
      <c r="F2" s="2" t="s">
        <v>128</v>
      </c>
      <c r="G2" s="2" t="s">
        <v>129</v>
      </c>
      <c r="H2" s="2" t="s">
        <v>130</v>
      </c>
    </row>
    <row r="3" customFormat="false" ht="15.75" hidden="false" customHeight="true" outlineLevel="0" collapsed="false">
      <c r="A3" s="3" t="s">
        <v>131</v>
      </c>
      <c r="B3" s="3" t="s">
        <v>14</v>
      </c>
      <c r="C3" s="3" t="s">
        <v>15</v>
      </c>
      <c r="D3" s="3" t="s">
        <v>16</v>
      </c>
      <c r="E3" s="4" t="n">
        <v>1</v>
      </c>
      <c r="F3" s="4" t="n">
        <v>2020</v>
      </c>
      <c r="G3" s="4" t="n">
        <v>850</v>
      </c>
      <c r="H3" s="4" t="n">
        <v>850</v>
      </c>
    </row>
    <row r="4" customFormat="false" ht="15.75" hidden="false" customHeight="true" outlineLevel="0" collapsed="false">
      <c r="A4" s="5" t="s">
        <v>131</v>
      </c>
      <c r="B4" s="5" t="s">
        <v>14</v>
      </c>
      <c r="C4" s="5" t="s">
        <v>15</v>
      </c>
      <c r="D4" s="5" t="s">
        <v>16</v>
      </c>
      <c r="E4" s="6" t="n">
        <v>1</v>
      </c>
      <c r="F4" s="6" t="n">
        <v>2021</v>
      </c>
      <c r="G4" s="6" t="n">
        <v>920</v>
      </c>
      <c r="H4" s="6" t="n">
        <v>920</v>
      </c>
    </row>
    <row r="5" customFormat="false" ht="15.75" hidden="false" customHeight="true" outlineLevel="0" collapsed="false">
      <c r="A5" s="3" t="s">
        <v>131</v>
      </c>
      <c r="B5" s="3" t="s">
        <v>14</v>
      </c>
      <c r="C5" s="3" t="s">
        <v>15</v>
      </c>
      <c r="D5" s="3" t="s">
        <v>16</v>
      </c>
      <c r="E5" s="4" t="n">
        <v>1</v>
      </c>
      <c r="F5" s="4" t="n">
        <v>2022</v>
      </c>
      <c r="G5" s="4" t="n">
        <v>980</v>
      </c>
      <c r="H5" s="4" t="n">
        <v>980</v>
      </c>
    </row>
    <row r="6" customFormat="false" ht="15.75" hidden="false" customHeight="true" outlineLevel="0" collapsed="false">
      <c r="A6" s="5" t="s">
        <v>131</v>
      </c>
      <c r="B6" s="5" t="s">
        <v>14</v>
      </c>
      <c r="C6" s="5" t="s">
        <v>15</v>
      </c>
      <c r="D6" s="5" t="s">
        <v>16</v>
      </c>
      <c r="E6" s="6" t="n">
        <v>1</v>
      </c>
      <c r="F6" s="6" t="n">
        <v>2023</v>
      </c>
      <c r="G6" s="6" t="n">
        <v>1050</v>
      </c>
      <c r="H6" s="6" t="n">
        <v>1050</v>
      </c>
    </row>
    <row r="7" customFormat="false" ht="15.75" hidden="false" customHeight="true" outlineLevel="0" collapsed="false">
      <c r="A7" s="3" t="s">
        <v>131</v>
      </c>
      <c r="B7" s="3" t="s">
        <v>14</v>
      </c>
      <c r="C7" s="3" t="s">
        <v>15</v>
      </c>
      <c r="D7" s="3" t="s">
        <v>16</v>
      </c>
      <c r="E7" s="4" t="n">
        <v>1</v>
      </c>
      <c r="F7" s="4" t="n">
        <v>2024</v>
      </c>
      <c r="G7" s="4" t="n">
        <v>1120</v>
      </c>
      <c r="H7" s="4" t="n">
        <v>1120</v>
      </c>
    </row>
    <row r="8" customFormat="false" ht="15.75" hidden="false" customHeight="true" outlineLevel="0" collapsed="false">
      <c r="A8" s="5" t="s">
        <v>131</v>
      </c>
      <c r="B8" s="5" t="s">
        <v>14</v>
      </c>
      <c r="C8" s="5" t="s">
        <v>17</v>
      </c>
      <c r="D8" s="5" t="s">
        <v>18</v>
      </c>
      <c r="E8" s="6" t="n">
        <v>0.9</v>
      </c>
      <c r="F8" s="6" t="n">
        <v>2020</v>
      </c>
      <c r="G8" s="6" t="n">
        <v>320</v>
      </c>
      <c r="H8" s="6" t="n">
        <v>288</v>
      </c>
    </row>
    <row r="9" customFormat="false" ht="15.75" hidden="false" customHeight="true" outlineLevel="0" collapsed="false">
      <c r="A9" s="3" t="s">
        <v>131</v>
      </c>
      <c r="B9" s="3" t="s">
        <v>14</v>
      </c>
      <c r="C9" s="3" t="s">
        <v>17</v>
      </c>
      <c r="D9" s="3" t="s">
        <v>18</v>
      </c>
      <c r="E9" s="4" t="n">
        <v>0.9</v>
      </c>
      <c r="F9" s="4" t="n">
        <v>2021</v>
      </c>
      <c r="G9" s="4" t="n">
        <v>350</v>
      </c>
      <c r="H9" s="4" t="n">
        <v>315</v>
      </c>
    </row>
    <row r="10" customFormat="false" ht="15.75" hidden="false" customHeight="true" outlineLevel="0" collapsed="false">
      <c r="A10" s="5" t="s">
        <v>131</v>
      </c>
      <c r="B10" s="5" t="s">
        <v>14</v>
      </c>
      <c r="C10" s="5" t="s">
        <v>17</v>
      </c>
      <c r="D10" s="5" t="s">
        <v>18</v>
      </c>
      <c r="E10" s="6" t="n">
        <v>0.9</v>
      </c>
      <c r="F10" s="6" t="n">
        <v>2022</v>
      </c>
      <c r="G10" s="6" t="n">
        <v>380</v>
      </c>
      <c r="H10" s="6" t="n">
        <v>342</v>
      </c>
    </row>
    <row r="11" customFormat="false" ht="15.75" hidden="false" customHeight="true" outlineLevel="0" collapsed="false">
      <c r="A11" s="3" t="s">
        <v>131</v>
      </c>
      <c r="B11" s="3" t="s">
        <v>14</v>
      </c>
      <c r="C11" s="3" t="s">
        <v>17</v>
      </c>
      <c r="D11" s="3" t="s">
        <v>18</v>
      </c>
      <c r="E11" s="4" t="n">
        <v>0.9</v>
      </c>
      <c r="F11" s="4" t="n">
        <v>2023</v>
      </c>
      <c r="G11" s="4" t="n">
        <v>410</v>
      </c>
      <c r="H11" s="4" t="n">
        <v>369</v>
      </c>
    </row>
    <row r="12" customFormat="false" ht="15.75" hidden="false" customHeight="true" outlineLevel="0" collapsed="false">
      <c r="A12" s="5" t="s">
        <v>131</v>
      </c>
      <c r="B12" s="5" t="s">
        <v>14</v>
      </c>
      <c r="C12" s="5" t="s">
        <v>17</v>
      </c>
      <c r="D12" s="5" t="s">
        <v>18</v>
      </c>
      <c r="E12" s="6" t="n">
        <v>0.9</v>
      </c>
      <c r="F12" s="6" t="n">
        <v>2024</v>
      </c>
      <c r="G12" s="6" t="n">
        <v>450</v>
      </c>
      <c r="H12" s="6" t="n">
        <v>405</v>
      </c>
    </row>
    <row r="13" customFormat="false" ht="15.75" hidden="false" customHeight="true" outlineLevel="0" collapsed="false">
      <c r="A13" s="3" t="s">
        <v>131</v>
      </c>
      <c r="B13" s="3" t="s">
        <v>14</v>
      </c>
      <c r="C13" s="3" t="s">
        <v>19</v>
      </c>
      <c r="D13" s="3" t="s">
        <v>20</v>
      </c>
      <c r="E13" s="4" t="n">
        <v>0.8</v>
      </c>
      <c r="F13" s="4" t="n">
        <v>2020</v>
      </c>
      <c r="G13" s="4" t="n">
        <v>180</v>
      </c>
      <c r="H13" s="4" t="n">
        <v>144</v>
      </c>
    </row>
    <row r="14" customFormat="false" ht="15.75" hidden="false" customHeight="true" outlineLevel="0" collapsed="false">
      <c r="A14" s="5" t="s">
        <v>131</v>
      </c>
      <c r="B14" s="5" t="s">
        <v>14</v>
      </c>
      <c r="C14" s="5" t="s">
        <v>19</v>
      </c>
      <c r="D14" s="5" t="s">
        <v>20</v>
      </c>
      <c r="E14" s="6" t="n">
        <v>0.8</v>
      </c>
      <c r="F14" s="6" t="n">
        <v>2021</v>
      </c>
      <c r="G14" s="6" t="n">
        <v>200</v>
      </c>
      <c r="H14" s="6" t="n">
        <v>160</v>
      </c>
    </row>
    <row r="15" customFormat="false" ht="15.75" hidden="false" customHeight="true" outlineLevel="0" collapsed="false">
      <c r="A15" s="3" t="s">
        <v>131</v>
      </c>
      <c r="B15" s="3" t="s">
        <v>14</v>
      </c>
      <c r="C15" s="3" t="s">
        <v>19</v>
      </c>
      <c r="D15" s="3" t="s">
        <v>20</v>
      </c>
      <c r="E15" s="4" t="n">
        <v>0.8</v>
      </c>
      <c r="F15" s="4" t="n">
        <v>2022</v>
      </c>
      <c r="G15" s="4" t="n">
        <v>220</v>
      </c>
      <c r="H15" s="4" t="n">
        <v>176</v>
      </c>
    </row>
    <row r="16" customFormat="false" ht="15.75" hidden="false" customHeight="true" outlineLevel="0" collapsed="false">
      <c r="A16" s="5" t="s">
        <v>131</v>
      </c>
      <c r="B16" s="5" t="s">
        <v>14</v>
      </c>
      <c r="C16" s="5" t="s">
        <v>19</v>
      </c>
      <c r="D16" s="5" t="s">
        <v>20</v>
      </c>
      <c r="E16" s="6" t="n">
        <v>0.8</v>
      </c>
      <c r="F16" s="6" t="n">
        <v>2023</v>
      </c>
      <c r="G16" s="6" t="n">
        <v>240</v>
      </c>
      <c r="H16" s="6" t="n">
        <v>192</v>
      </c>
    </row>
    <row r="17" customFormat="false" ht="15.75" hidden="false" customHeight="true" outlineLevel="0" collapsed="false">
      <c r="A17" s="3" t="s">
        <v>131</v>
      </c>
      <c r="B17" s="3" t="s">
        <v>14</v>
      </c>
      <c r="C17" s="3" t="s">
        <v>19</v>
      </c>
      <c r="D17" s="3" t="s">
        <v>20</v>
      </c>
      <c r="E17" s="4" t="n">
        <v>0.8</v>
      </c>
      <c r="F17" s="4" t="n">
        <v>2024</v>
      </c>
      <c r="G17" s="4" t="n">
        <v>260</v>
      </c>
      <c r="H17" s="4" t="n">
        <v>208</v>
      </c>
    </row>
    <row r="18" customFormat="false" ht="15.75" hidden="false" customHeight="true" outlineLevel="0" collapsed="false">
      <c r="A18" s="5" t="s">
        <v>131</v>
      </c>
      <c r="B18" s="5" t="s">
        <v>14</v>
      </c>
      <c r="C18" s="5" t="s">
        <v>21</v>
      </c>
      <c r="D18" s="5" t="s">
        <v>22</v>
      </c>
      <c r="E18" s="6" t="n">
        <v>1</v>
      </c>
      <c r="F18" s="6" t="n">
        <v>2020</v>
      </c>
      <c r="G18" s="6" t="n">
        <v>120</v>
      </c>
      <c r="H18" s="6" t="n">
        <v>120</v>
      </c>
    </row>
    <row r="19" customFormat="false" ht="15.75" hidden="false" customHeight="true" outlineLevel="0" collapsed="false">
      <c r="A19" s="3" t="s">
        <v>131</v>
      </c>
      <c r="B19" s="3" t="s">
        <v>14</v>
      </c>
      <c r="C19" s="3" t="s">
        <v>21</v>
      </c>
      <c r="D19" s="3" t="s">
        <v>22</v>
      </c>
      <c r="E19" s="4" t="n">
        <v>1</v>
      </c>
      <c r="F19" s="4" t="n">
        <v>2021</v>
      </c>
      <c r="G19" s="4" t="n">
        <v>140</v>
      </c>
      <c r="H19" s="4" t="n">
        <v>140</v>
      </c>
    </row>
    <row r="20" customFormat="false" ht="15.75" hidden="false" customHeight="true" outlineLevel="0" collapsed="false">
      <c r="A20" s="5" t="s">
        <v>131</v>
      </c>
      <c r="B20" s="5" t="s">
        <v>14</v>
      </c>
      <c r="C20" s="5" t="s">
        <v>21</v>
      </c>
      <c r="D20" s="5" t="s">
        <v>22</v>
      </c>
      <c r="E20" s="6" t="n">
        <v>1</v>
      </c>
      <c r="F20" s="6" t="n">
        <v>2022</v>
      </c>
      <c r="G20" s="6" t="n">
        <v>160</v>
      </c>
      <c r="H20" s="6" t="n">
        <v>160</v>
      </c>
    </row>
    <row r="21" customFormat="false" ht="15.75" hidden="false" customHeight="true" outlineLevel="0" collapsed="false">
      <c r="A21" s="3" t="s">
        <v>131</v>
      </c>
      <c r="B21" s="3" t="s">
        <v>14</v>
      </c>
      <c r="C21" s="3" t="s">
        <v>21</v>
      </c>
      <c r="D21" s="3" t="s">
        <v>22</v>
      </c>
      <c r="E21" s="4" t="n">
        <v>1</v>
      </c>
      <c r="F21" s="4" t="n">
        <v>2023</v>
      </c>
      <c r="G21" s="4" t="n">
        <v>180</v>
      </c>
      <c r="H21" s="4" t="n">
        <v>180</v>
      </c>
    </row>
    <row r="22" customFormat="false" ht="15.75" hidden="false" customHeight="true" outlineLevel="0" collapsed="false">
      <c r="A22" s="5" t="s">
        <v>131</v>
      </c>
      <c r="B22" s="5" t="s">
        <v>14</v>
      </c>
      <c r="C22" s="5" t="s">
        <v>21</v>
      </c>
      <c r="D22" s="5" t="s">
        <v>22</v>
      </c>
      <c r="E22" s="6" t="n">
        <v>1</v>
      </c>
      <c r="F22" s="6" t="n">
        <v>2024</v>
      </c>
      <c r="G22" s="6" t="n">
        <v>200</v>
      </c>
      <c r="H22" s="6" t="n">
        <v>200</v>
      </c>
    </row>
    <row r="23" customFormat="false" ht="15.75" hidden="false" customHeight="true" outlineLevel="0" collapsed="false">
      <c r="A23" s="3" t="s">
        <v>131</v>
      </c>
      <c r="B23" s="3" t="s">
        <v>14</v>
      </c>
      <c r="C23" s="3" t="s">
        <v>23</v>
      </c>
      <c r="D23" s="3" t="s">
        <v>24</v>
      </c>
      <c r="E23" s="4" t="n">
        <v>1</v>
      </c>
      <c r="F23" s="4" t="n">
        <v>2020</v>
      </c>
      <c r="G23" s="4" t="n">
        <v>60</v>
      </c>
      <c r="H23" s="4" t="n">
        <v>60</v>
      </c>
    </row>
    <row r="24" customFormat="false" ht="15.75" hidden="false" customHeight="true" outlineLevel="0" collapsed="false">
      <c r="A24" s="5" t="s">
        <v>131</v>
      </c>
      <c r="B24" s="5" t="s">
        <v>14</v>
      </c>
      <c r="C24" s="5" t="s">
        <v>23</v>
      </c>
      <c r="D24" s="5" t="s">
        <v>24</v>
      </c>
      <c r="E24" s="6" t="n">
        <v>1</v>
      </c>
      <c r="F24" s="6" t="n">
        <v>2021</v>
      </c>
      <c r="G24" s="6" t="n">
        <v>75</v>
      </c>
      <c r="H24" s="6" t="n">
        <v>75</v>
      </c>
    </row>
    <row r="25" customFormat="false" ht="15.75" hidden="false" customHeight="true" outlineLevel="0" collapsed="false">
      <c r="A25" s="3" t="s">
        <v>131</v>
      </c>
      <c r="B25" s="3" t="s">
        <v>14</v>
      </c>
      <c r="C25" s="3" t="s">
        <v>23</v>
      </c>
      <c r="D25" s="3" t="s">
        <v>24</v>
      </c>
      <c r="E25" s="4" t="n">
        <v>1</v>
      </c>
      <c r="F25" s="4" t="n">
        <v>2022</v>
      </c>
      <c r="G25" s="4" t="n">
        <v>90</v>
      </c>
      <c r="H25" s="4" t="n">
        <v>90</v>
      </c>
    </row>
    <row r="26" customFormat="false" ht="15.75" hidden="false" customHeight="true" outlineLevel="0" collapsed="false">
      <c r="A26" s="5" t="s">
        <v>131</v>
      </c>
      <c r="B26" s="5" t="s">
        <v>14</v>
      </c>
      <c r="C26" s="5" t="s">
        <v>23</v>
      </c>
      <c r="D26" s="5" t="s">
        <v>24</v>
      </c>
      <c r="E26" s="6" t="n">
        <v>1</v>
      </c>
      <c r="F26" s="6" t="n">
        <v>2023</v>
      </c>
      <c r="G26" s="6" t="n">
        <v>105</v>
      </c>
      <c r="H26" s="6" t="n">
        <v>105</v>
      </c>
    </row>
    <row r="27" customFormat="false" ht="15.75" hidden="false" customHeight="true" outlineLevel="0" collapsed="false">
      <c r="A27" s="3" t="s">
        <v>131</v>
      </c>
      <c r="B27" s="3" t="s">
        <v>14</v>
      </c>
      <c r="C27" s="3" t="s">
        <v>23</v>
      </c>
      <c r="D27" s="3" t="s">
        <v>24</v>
      </c>
      <c r="E27" s="4" t="n">
        <v>1</v>
      </c>
      <c r="F27" s="4" t="n">
        <v>2024</v>
      </c>
      <c r="G27" s="4" t="n">
        <v>120</v>
      </c>
      <c r="H27" s="4" t="n">
        <v>120</v>
      </c>
    </row>
    <row r="28" customFormat="false" ht="15.75" hidden="false" customHeight="true" outlineLevel="0" collapsed="false">
      <c r="A28" s="5" t="s">
        <v>131</v>
      </c>
      <c r="B28" s="5" t="s">
        <v>14</v>
      </c>
      <c r="C28" s="5" t="s">
        <v>25</v>
      </c>
      <c r="D28" s="5" t="s">
        <v>26</v>
      </c>
      <c r="E28" s="6" t="n">
        <v>1</v>
      </c>
      <c r="F28" s="6" t="n">
        <v>2020</v>
      </c>
      <c r="G28" s="6" t="n">
        <v>45</v>
      </c>
      <c r="H28" s="6" t="n">
        <v>45</v>
      </c>
    </row>
    <row r="29" customFormat="false" ht="15.75" hidden="false" customHeight="true" outlineLevel="0" collapsed="false">
      <c r="A29" s="3" t="s">
        <v>131</v>
      </c>
      <c r="B29" s="3" t="s">
        <v>14</v>
      </c>
      <c r="C29" s="3" t="s">
        <v>25</v>
      </c>
      <c r="D29" s="3" t="s">
        <v>26</v>
      </c>
      <c r="E29" s="4" t="n">
        <v>1</v>
      </c>
      <c r="F29" s="4" t="n">
        <v>2021</v>
      </c>
      <c r="G29" s="4" t="n">
        <v>55</v>
      </c>
      <c r="H29" s="4" t="n">
        <v>55</v>
      </c>
    </row>
    <row r="30" customFormat="false" ht="15.75" hidden="false" customHeight="true" outlineLevel="0" collapsed="false">
      <c r="A30" s="5" t="s">
        <v>131</v>
      </c>
      <c r="B30" s="5" t="s">
        <v>14</v>
      </c>
      <c r="C30" s="5" t="s">
        <v>25</v>
      </c>
      <c r="D30" s="5" t="s">
        <v>26</v>
      </c>
      <c r="E30" s="6" t="n">
        <v>1</v>
      </c>
      <c r="F30" s="6" t="n">
        <v>2022</v>
      </c>
      <c r="G30" s="6" t="n">
        <v>65</v>
      </c>
      <c r="H30" s="6" t="n">
        <v>65</v>
      </c>
    </row>
    <row r="31" customFormat="false" ht="15.75" hidden="false" customHeight="true" outlineLevel="0" collapsed="false">
      <c r="A31" s="3" t="s">
        <v>131</v>
      </c>
      <c r="B31" s="3" t="s">
        <v>14</v>
      </c>
      <c r="C31" s="3" t="s">
        <v>25</v>
      </c>
      <c r="D31" s="3" t="s">
        <v>26</v>
      </c>
      <c r="E31" s="4" t="n">
        <v>1</v>
      </c>
      <c r="F31" s="4" t="n">
        <v>2023</v>
      </c>
      <c r="G31" s="4" t="n">
        <v>75</v>
      </c>
      <c r="H31" s="4" t="n">
        <v>75</v>
      </c>
    </row>
    <row r="32" customFormat="false" ht="15.75" hidden="false" customHeight="true" outlineLevel="0" collapsed="false">
      <c r="A32" s="5" t="s">
        <v>131</v>
      </c>
      <c r="B32" s="5" t="s">
        <v>14</v>
      </c>
      <c r="C32" s="5" t="s">
        <v>25</v>
      </c>
      <c r="D32" s="5" t="s">
        <v>26</v>
      </c>
      <c r="E32" s="6" t="n">
        <v>1</v>
      </c>
      <c r="F32" s="6" t="n">
        <v>2024</v>
      </c>
      <c r="G32" s="6" t="n">
        <v>85</v>
      </c>
      <c r="H32" s="6" t="n">
        <v>85</v>
      </c>
    </row>
    <row r="33" customFormat="false" ht="15.75" hidden="false" customHeight="true" outlineLevel="0" collapsed="false">
      <c r="A33" s="3" t="s">
        <v>131</v>
      </c>
      <c r="B33" s="3" t="s">
        <v>27</v>
      </c>
      <c r="C33" s="3" t="s">
        <v>28</v>
      </c>
      <c r="D33" s="3" t="s">
        <v>29</v>
      </c>
      <c r="E33" s="4" t="n">
        <v>0.85</v>
      </c>
      <c r="F33" s="4" t="n">
        <v>2020</v>
      </c>
      <c r="G33" s="4" t="n">
        <v>620</v>
      </c>
      <c r="H33" s="4" t="n">
        <v>527</v>
      </c>
    </row>
    <row r="34" customFormat="false" ht="15.75" hidden="false" customHeight="true" outlineLevel="0" collapsed="false">
      <c r="A34" s="5" t="s">
        <v>131</v>
      </c>
      <c r="B34" s="5" t="s">
        <v>27</v>
      </c>
      <c r="C34" s="5" t="s">
        <v>28</v>
      </c>
      <c r="D34" s="5" t="s">
        <v>29</v>
      </c>
      <c r="E34" s="6" t="n">
        <v>0.85</v>
      </c>
      <c r="F34" s="6" t="n">
        <v>2021</v>
      </c>
      <c r="G34" s="6" t="n">
        <v>680</v>
      </c>
      <c r="H34" s="6" t="n">
        <v>578</v>
      </c>
    </row>
    <row r="35" customFormat="false" ht="15.75" hidden="false" customHeight="true" outlineLevel="0" collapsed="false">
      <c r="A35" s="3" t="s">
        <v>131</v>
      </c>
      <c r="B35" s="3" t="s">
        <v>27</v>
      </c>
      <c r="C35" s="3" t="s">
        <v>28</v>
      </c>
      <c r="D35" s="3" t="s">
        <v>29</v>
      </c>
      <c r="E35" s="4" t="n">
        <v>0.85</v>
      </c>
      <c r="F35" s="4" t="n">
        <v>2022</v>
      </c>
      <c r="G35" s="4" t="n">
        <v>740</v>
      </c>
      <c r="H35" s="4" t="n">
        <v>629</v>
      </c>
    </row>
    <row r="36" customFormat="false" ht="15.75" hidden="false" customHeight="true" outlineLevel="0" collapsed="false">
      <c r="A36" s="5" t="s">
        <v>131</v>
      </c>
      <c r="B36" s="5" t="s">
        <v>27</v>
      </c>
      <c r="C36" s="5" t="s">
        <v>28</v>
      </c>
      <c r="D36" s="5" t="s">
        <v>29</v>
      </c>
      <c r="E36" s="6" t="n">
        <v>0.85</v>
      </c>
      <c r="F36" s="6" t="n">
        <v>2023</v>
      </c>
      <c r="G36" s="6" t="n">
        <v>800</v>
      </c>
      <c r="H36" s="6" t="n">
        <v>680</v>
      </c>
    </row>
    <row r="37" customFormat="false" ht="15.75" hidden="false" customHeight="true" outlineLevel="0" collapsed="false">
      <c r="A37" s="3" t="s">
        <v>131</v>
      </c>
      <c r="B37" s="3" t="s">
        <v>27</v>
      </c>
      <c r="C37" s="3" t="s">
        <v>28</v>
      </c>
      <c r="D37" s="3" t="s">
        <v>29</v>
      </c>
      <c r="E37" s="4" t="n">
        <v>0.85</v>
      </c>
      <c r="F37" s="4" t="n">
        <v>2024</v>
      </c>
      <c r="G37" s="4" t="n">
        <v>860</v>
      </c>
      <c r="H37" s="4" t="n">
        <v>731</v>
      </c>
    </row>
    <row r="38" customFormat="false" ht="15.75" hidden="false" customHeight="true" outlineLevel="0" collapsed="false">
      <c r="A38" s="5" t="s">
        <v>131</v>
      </c>
      <c r="B38" s="5" t="s">
        <v>27</v>
      </c>
      <c r="C38" s="5" t="s">
        <v>30</v>
      </c>
      <c r="D38" s="5" t="s">
        <v>31</v>
      </c>
      <c r="E38" s="6" t="n">
        <v>1</v>
      </c>
      <c r="F38" s="6" t="n">
        <v>2020</v>
      </c>
      <c r="G38" s="6" t="n">
        <v>430</v>
      </c>
      <c r="H38" s="6" t="n">
        <v>430</v>
      </c>
    </row>
    <row r="39" customFormat="false" ht="15.75" hidden="false" customHeight="true" outlineLevel="0" collapsed="false">
      <c r="A39" s="3" t="s">
        <v>131</v>
      </c>
      <c r="B39" s="3" t="s">
        <v>27</v>
      </c>
      <c r="C39" s="3" t="s">
        <v>30</v>
      </c>
      <c r="D39" s="3" t="s">
        <v>31</v>
      </c>
      <c r="E39" s="4" t="n">
        <v>1</v>
      </c>
      <c r="F39" s="4" t="n">
        <v>2021</v>
      </c>
      <c r="G39" s="4" t="n">
        <v>480</v>
      </c>
      <c r="H39" s="4" t="n">
        <v>480</v>
      </c>
    </row>
    <row r="40" customFormat="false" ht="15.75" hidden="false" customHeight="true" outlineLevel="0" collapsed="false">
      <c r="A40" s="5" t="s">
        <v>131</v>
      </c>
      <c r="B40" s="5" t="s">
        <v>27</v>
      </c>
      <c r="C40" s="5" t="s">
        <v>30</v>
      </c>
      <c r="D40" s="5" t="s">
        <v>31</v>
      </c>
      <c r="E40" s="6" t="n">
        <v>1</v>
      </c>
      <c r="F40" s="6" t="n">
        <v>2022</v>
      </c>
      <c r="G40" s="6" t="n">
        <v>530</v>
      </c>
      <c r="H40" s="6" t="n">
        <v>530</v>
      </c>
    </row>
    <row r="41" customFormat="false" ht="15.75" hidden="false" customHeight="true" outlineLevel="0" collapsed="false">
      <c r="A41" s="3" t="s">
        <v>131</v>
      </c>
      <c r="B41" s="3" t="s">
        <v>27</v>
      </c>
      <c r="C41" s="3" t="s">
        <v>30</v>
      </c>
      <c r="D41" s="3" t="s">
        <v>31</v>
      </c>
      <c r="E41" s="4" t="n">
        <v>1</v>
      </c>
      <c r="F41" s="4" t="n">
        <v>2023</v>
      </c>
      <c r="G41" s="4" t="n">
        <v>590</v>
      </c>
      <c r="H41" s="4" t="n">
        <v>590</v>
      </c>
    </row>
    <row r="42" customFormat="false" ht="15.75" hidden="false" customHeight="true" outlineLevel="0" collapsed="false">
      <c r="A42" s="5" t="s">
        <v>131</v>
      </c>
      <c r="B42" s="5" t="s">
        <v>27</v>
      </c>
      <c r="C42" s="5" t="s">
        <v>30</v>
      </c>
      <c r="D42" s="5" t="s">
        <v>31</v>
      </c>
      <c r="E42" s="6" t="n">
        <v>1</v>
      </c>
      <c r="F42" s="6" t="n">
        <v>2024</v>
      </c>
      <c r="G42" s="6" t="n">
        <v>650</v>
      </c>
      <c r="H42" s="6" t="n">
        <v>650</v>
      </c>
    </row>
    <row r="43" customFormat="false" ht="15.75" hidden="false" customHeight="true" outlineLevel="0" collapsed="false">
      <c r="A43" s="3" t="s">
        <v>131</v>
      </c>
      <c r="B43" s="3" t="s">
        <v>27</v>
      </c>
      <c r="C43" s="3" t="s">
        <v>32</v>
      </c>
      <c r="D43" s="3" t="s">
        <v>16</v>
      </c>
      <c r="E43" s="4" t="n">
        <v>0.9</v>
      </c>
      <c r="F43" s="4" t="n">
        <v>2020</v>
      </c>
      <c r="G43" s="4" t="n">
        <v>380</v>
      </c>
      <c r="H43" s="4" t="n">
        <v>342</v>
      </c>
    </row>
    <row r="44" customFormat="false" ht="15.75" hidden="false" customHeight="true" outlineLevel="0" collapsed="false">
      <c r="A44" s="5" t="s">
        <v>131</v>
      </c>
      <c r="B44" s="5" t="s">
        <v>27</v>
      </c>
      <c r="C44" s="5" t="s">
        <v>32</v>
      </c>
      <c r="D44" s="5" t="s">
        <v>16</v>
      </c>
      <c r="E44" s="6" t="n">
        <v>0.9</v>
      </c>
      <c r="F44" s="6" t="n">
        <v>2021</v>
      </c>
      <c r="G44" s="6" t="n">
        <v>410</v>
      </c>
      <c r="H44" s="6" t="n">
        <v>369</v>
      </c>
    </row>
    <row r="45" customFormat="false" ht="15.75" hidden="false" customHeight="true" outlineLevel="0" collapsed="false">
      <c r="A45" s="3" t="s">
        <v>131</v>
      </c>
      <c r="B45" s="3" t="s">
        <v>27</v>
      </c>
      <c r="C45" s="3" t="s">
        <v>32</v>
      </c>
      <c r="D45" s="3" t="s">
        <v>16</v>
      </c>
      <c r="E45" s="4" t="n">
        <v>0.9</v>
      </c>
      <c r="F45" s="4" t="n">
        <v>2022</v>
      </c>
      <c r="G45" s="4" t="n">
        <v>450</v>
      </c>
      <c r="H45" s="4" t="n">
        <v>405</v>
      </c>
    </row>
    <row r="46" customFormat="false" ht="15.75" hidden="false" customHeight="true" outlineLevel="0" collapsed="false">
      <c r="A46" s="5" t="s">
        <v>131</v>
      </c>
      <c r="B46" s="5" t="s">
        <v>27</v>
      </c>
      <c r="C46" s="5" t="s">
        <v>32</v>
      </c>
      <c r="D46" s="5" t="s">
        <v>16</v>
      </c>
      <c r="E46" s="6" t="n">
        <v>0.9</v>
      </c>
      <c r="F46" s="6" t="n">
        <v>2023</v>
      </c>
      <c r="G46" s="6" t="n">
        <v>490</v>
      </c>
      <c r="H46" s="6" t="n">
        <v>441</v>
      </c>
    </row>
    <row r="47" customFormat="false" ht="15.75" hidden="false" customHeight="true" outlineLevel="0" collapsed="false">
      <c r="A47" s="3" t="s">
        <v>131</v>
      </c>
      <c r="B47" s="3" t="s">
        <v>27</v>
      </c>
      <c r="C47" s="3" t="s">
        <v>32</v>
      </c>
      <c r="D47" s="3" t="s">
        <v>16</v>
      </c>
      <c r="E47" s="4" t="n">
        <v>0.9</v>
      </c>
      <c r="F47" s="4" t="n">
        <v>2024</v>
      </c>
      <c r="G47" s="4" t="n">
        <v>530</v>
      </c>
      <c r="H47" s="4" t="n">
        <v>477</v>
      </c>
    </row>
    <row r="48" customFormat="false" ht="15.75" hidden="false" customHeight="true" outlineLevel="0" collapsed="false">
      <c r="A48" s="5" t="s">
        <v>131</v>
      </c>
      <c r="B48" s="5" t="s">
        <v>27</v>
      </c>
      <c r="C48" s="5" t="s">
        <v>33</v>
      </c>
      <c r="D48" s="5" t="s">
        <v>20</v>
      </c>
      <c r="E48" s="6" t="n">
        <v>1</v>
      </c>
      <c r="F48" s="6" t="n">
        <v>2020</v>
      </c>
      <c r="G48" s="6" t="n">
        <v>95</v>
      </c>
      <c r="H48" s="6" t="n">
        <v>95</v>
      </c>
    </row>
    <row r="49" customFormat="false" ht="15.75" hidden="false" customHeight="true" outlineLevel="0" collapsed="false">
      <c r="A49" s="3" t="s">
        <v>131</v>
      </c>
      <c r="B49" s="3" t="s">
        <v>27</v>
      </c>
      <c r="C49" s="3" t="s">
        <v>33</v>
      </c>
      <c r="D49" s="3" t="s">
        <v>20</v>
      </c>
      <c r="E49" s="4" t="n">
        <v>1</v>
      </c>
      <c r="F49" s="4" t="n">
        <v>2021</v>
      </c>
      <c r="G49" s="4" t="n">
        <v>110</v>
      </c>
      <c r="H49" s="4" t="n">
        <v>110</v>
      </c>
    </row>
    <row r="50" customFormat="false" ht="15.75" hidden="false" customHeight="true" outlineLevel="0" collapsed="false">
      <c r="A50" s="5" t="s">
        <v>131</v>
      </c>
      <c r="B50" s="5" t="s">
        <v>27</v>
      </c>
      <c r="C50" s="5" t="s">
        <v>33</v>
      </c>
      <c r="D50" s="5" t="s">
        <v>20</v>
      </c>
      <c r="E50" s="6" t="n">
        <v>1</v>
      </c>
      <c r="F50" s="6" t="n">
        <v>2022</v>
      </c>
      <c r="G50" s="6" t="n">
        <v>125</v>
      </c>
      <c r="H50" s="6" t="n">
        <v>125</v>
      </c>
    </row>
    <row r="51" customFormat="false" ht="15.75" hidden="false" customHeight="true" outlineLevel="0" collapsed="false">
      <c r="A51" s="3" t="s">
        <v>131</v>
      </c>
      <c r="B51" s="3" t="s">
        <v>27</v>
      </c>
      <c r="C51" s="3" t="s">
        <v>33</v>
      </c>
      <c r="D51" s="3" t="s">
        <v>20</v>
      </c>
      <c r="E51" s="4" t="n">
        <v>1</v>
      </c>
      <c r="F51" s="4" t="n">
        <v>2023</v>
      </c>
      <c r="G51" s="4" t="n">
        <v>140</v>
      </c>
      <c r="H51" s="4" t="n">
        <v>140</v>
      </c>
    </row>
    <row r="52" customFormat="false" ht="15.75" hidden="false" customHeight="true" outlineLevel="0" collapsed="false">
      <c r="A52" s="5" t="s">
        <v>131</v>
      </c>
      <c r="B52" s="5" t="s">
        <v>27</v>
      </c>
      <c r="C52" s="5" t="s">
        <v>33</v>
      </c>
      <c r="D52" s="5" t="s">
        <v>20</v>
      </c>
      <c r="E52" s="6" t="n">
        <v>1</v>
      </c>
      <c r="F52" s="6" t="n">
        <v>2024</v>
      </c>
      <c r="G52" s="6" t="n">
        <v>160</v>
      </c>
      <c r="H52" s="6" t="n">
        <v>160</v>
      </c>
    </row>
    <row r="53" customFormat="false" ht="15.75" hidden="false" customHeight="true" outlineLevel="0" collapsed="false">
      <c r="A53" s="3" t="s">
        <v>131</v>
      </c>
      <c r="B53" s="3" t="s">
        <v>27</v>
      </c>
      <c r="C53" s="3" t="s">
        <v>34</v>
      </c>
      <c r="D53" s="3" t="s">
        <v>35</v>
      </c>
      <c r="E53" s="4" t="n">
        <v>0.75</v>
      </c>
      <c r="F53" s="4" t="n">
        <v>2020</v>
      </c>
      <c r="G53" s="4" t="n">
        <v>110</v>
      </c>
      <c r="H53" s="4" t="n">
        <v>82.5</v>
      </c>
    </row>
    <row r="54" customFormat="false" ht="15.75" hidden="false" customHeight="true" outlineLevel="0" collapsed="false">
      <c r="A54" s="5" t="s">
        <v>131</v>
      </c>
      <c r="B54" s="5" t="s">
        <v>27</v>
      </c>
      <c r="C54" s="5" t="s">
        <v>34</v>
      </c>
      <c r="D54" s="5" t="s">
        <v>35</v>
      </c>
      <c r="E54" s="6" t="n">
        <v>0.75</v>
      </c>
      <c r="F54" s="6" t="n">
        <v>2021</v>
      </c>
      <c r="G54" s="6" t="n">
        <v>130</v>
      </c>
      <c r="H54" s="6" t="n">
        <v>97.5</v>
      </c>
    </row>
    <row r="55" customFormat="false" ht="15.75" hidden="false" customHeight="true" outlineLevel="0" collapsed="false">
      <c r="A55" s="3" t="s">
        <v>131</v>
      </c>
      <c r="B55" s="3" t="s">
        <v>27</v>
      </c>
      <c r="C55" s="3" t="s">
        <v>34</v>
      </c>
      <c r="D55" s="3" t="s">
        <v>35</v>
      </c>
      <c r="E55" s="4" t="n">
        <v>0.75</v>
      </c>
      <c r="F55" s="4" t="n">
        <v>2022</v>
      </c>
      <c r="G55" s="4" t="n">
        <v>150</v>
      </c>
      <c r="H55" s="4" t="n">
        <v>112.5</v>
      </c>
    </row>
    <row r="56" customFormat="false" ht="15.75" hidden="false" customHeight="true" outlineLevel="0" collapsed="false">
      <c r="A56" s="5" t="s">
        <v>131</v>
      </c>
      <c r="B56" s="5" t="s">
        <v>27</v>
      </c>
      <c r="C56" s="5" t="s">
        <v>34</v>
      </c>
      <c r="D56" s="5" t="s">
        <v>35</v>
      </c>
      <c r="E56" s="6" t="n">
        <v>0.75</v>
      </c>
      <c r="F56" s="6" t="n">
        <v>2023</v>
      </c>
      <c r="G56" s="6" t="n">
        <v>170</v>
      </c>
      <c r="H56" s="6" t="n">
        <v>127.5</v>
      </c>
    </row>
    <row r="57" customFormat="false" ht="15.75" hidden="false" customHeight="true" outlineLevel="0" collapsed="false">
      <c r="A57" s="3" t="s">
        <v>131</v>
      </c>
      <c r="B57" s="3" t="s">
        <v>27</v>
      </c>
      <c r="C57" s="3" t="s">
        <v>34</v>
      </c>
      <c r="D57" s="3" t="s">
        <v>35</v>
      </c>
      <c r="E57" s="4" t="n">
        <v>0.75</v>
      </c>
      <c r="F57" s="4" t="n">
        <v>2024</v>
      </c>
      <c r="G57" s="4" t="n">
        <v>190</v>
      </c>
      <c r="H57" s="4" t="n">
        <v>142.5</v>
      </c>
    </row>
    <row r="58" customFormat="false" ht="15.75" hidden="false" customHeight="true" outlineLevel="0" collapsed="false">
      <c r="A58" s="5" t="s">
        <v>131</v>
      </c>
      <c r="B58" s="5" t="s">
        <v>36</v>
      </c>
      <c r="C58" s="5" t="s">
        <v>37</v>
      </c>
      <c r="D58" s="5" t="s">
        <v>29</v>
      </c>
      <c r="E58" s="6" t="n">
        <v>0.25</v>
      </c>
      <c r="F58" s="6" t="n">
        <v>2020</v>
      </c>
      <c r="G58" s="6" t="n">
        <v>280</v>
      </c>
      <c r="H58" s="6" t="n">
        <v>70</v>
      </c>
    </row>
    <row r="59" customFormat="false" ht="15.75" hidden="false" customHeight="true" outlineLevel="0" collapsed="false">
      <c r="A59" s="3" t="s">
        <v>131</v>
      </c>
      <c r="B59" s="3" t="s">
        <v>36</v>
      </c>
      <c r="C59" s="3" t="s">
        <v>37</v>
      </c>
      <c r="D59" s="3" t="s">
        <v>29</v>
      </c>
      <c r="E59" s="4" t="n">
        <v>0.25</v>
      </c>
      <c r="F59" s="4" t="n">
        <v>2021</v>
      </c>
      <c r="G59" s="4" t="n">
        <v>300</v>
      </c>
      <c r="H59" s="4" t="n">
        <v>75</v>
      </c>
    </row>
    <row r="60" customFormat="false" ht="15.75" hidden="false" customHeight="true" outlineLevel="0" collapsed="false">
      <c r="A60" s="5" t="s">
        <v>131</v>
      </c>
      <c r="B60" s="5" t="s">
        <v>36</v>
      </c>
      <c r="C60" s="5" t="s">
        <v>37</v>
      </c>
      <c r="D60" s="5" t="s">
        <v>29</v>
      </c>
      <c r="E60" s="6" t="n">
        <v>0.25</v>
      </c>
      <c r="F60" s="6" t="n">
        <v>2022</v>
      </c>
      <c r="G60" s="6" t="n">
        <v>320</v>
      </c>
      <c r="H60" s="6" t="n">
        <v>80</v>
      </c>
    </row>
    <row r="61" customFormat="false" ht="15.75" hidden="false" customHeight="true" outlineLevel="0" collapsed="false">
      <c r="A61" s="3" t="s">
        <v>131</v>
      </c>
      <c r="B61" s="3" t="s">
        <v>36</v>
      </c>
      <c r="C61" s="3" t="s">
        <v>37</v>
      </c>
      <c r="D61" s="3" t="s">
        <v>29</v>
      </c>
      <c r="E61" s="4" t="n">
        <v>0.25</v>
      </c>
      <c r="F61" s="4" t="n">
        <v>2023</v>
      </c>
      <c r="G61" s="4" t="n">
        <v>345</v>
      </c>
      <c r="H61" s="4" t="n">
        <v>86.2</v>
      </c>
    </row>
    <row r="62" customFormat="false" ht="15.75" hidden="false" customHeight="true" outlineLevel="0" collapsed="false">
      <c r="A62" s="5" t="s">
        <v>131</v>
      </c>
      <c r="B62" s="5" t="s">
        <v>36</v>
      </c>
      <c r="C62" s="5" t="s">
        <v>37</v>
      </c>
      <c r="D62" s="5" t="s">
        <v>29</v>
      </c>
      <c r="E62" s="6" t="n">
        <v>0.25</v>
      </c>
      <c r="F62" s="6" t="n">
        <v>2024</v>
      </c>
      <c r="G62" s="6" t="n">
        <v>370</v>
      </c>
      <c r="H62" s="6" t="n">
        <v>92.5</v>
      </c>
    </row>
    <row r="63" customFormat="false" ht="15.75" hidden="false" customHeight="true" outlineLevel="0" collapsed="false">
      <c r="A63" s="3" t="s">
        <v>131</v>
      </c>
      <c r="B63" s="3" t="s">
        <v>36</v>
      </c>
      <c r="C63" s="3" t="s">
        <v>38</v>
      </c>
      <c r="D63" s="3" t="s">
        <v>31</v>
      </c>
      <c r="E63" s="4" t="n">
        <v>0.5</v>
      </c>
      <c r="F63" s="4" t="n">
        <v>2020</v>
      </c>
      <c r="G63" s="4" t="n">
        <v>150</v>
      </c>
      <c r="H63" s="4" t="n">
        <v>75</v>
      </c>
    </row>
    <row r="64" customFormat="false" ht="15.75" hidden="false" customHeight="true" outlineLevel="0" collapsed="false">
      <c r="A64" s="5" t="s">
        <v>131</v>
      </c>
      <c r="B64" s="5" t="s">
        <v>36</v>
      </c>
      <c r="C64" s="5" t="s">
        <v>38</v>
      </c>
      <c r="D64" s="5" t="s">
        <v>31</v>
      </c>
      <c r="E64" s="6" t="n">
        <v>0.5</v>
      </c>
      <c r="F64" s="6" t="n">
        <v>2021</v>
      </c>
      <c r="G64" s="6" t="n">
        <v>165</v>
      </c>
      <c r="H64" s="6" t="n">
        <v>82.5</v>
      </c>
    </row>
    <row r="65" customFormat="false" ht="15.75" hidden="false" customHeight="true" outlineLevel="0" collapsed="false">
      <c r="A65" s="3" t="s">
        <v>131</v>
      </c>
      <c r="B65" s="3" t="s">
        <v>36</v>
      </c>
      <c r="C65" s="3" t="s">
        <v>38</v>
      </c>
      <c r="D65" s="3" t="s">
        <v>31</v>
      </c>
      <c r="E65" s="4" t="n">
        <v>0.5</v>
      </c>
      <c r="F65" s="4" t="n">
        <v>2022</v>
      </c>
      <c r="G65" s="4" t="n">
        <v>180</v>
      </c>
      <c r="H65" s="4" t="n">
        <v>90</v>
      </c>
    </row>
    <row r="66" customFormat="false" ht="15.75" hidden="false" customHeight="true" outlineLevel="0" collapsed="false">
      <c r="A66" s="5" t="s">
        <v>131</v>
      </c>
      <c r="B66" s="5" t="s">
        <v>36</v>
      </c>
      <c r="C66" s="5" t="s">
        <v>38</v>
      </c>
      <c r="D66" s="5" t="s">
        <v>31</v>
      </c>
      <c r="E66" s="6" t="n">
        <v>0.5</v>
      </c>
      <c r="F66" s="6" t="n">
        <v>2023</v>
      </c>
      <c r="G66" s="6" t="n">
        <v>195</v>
      </c>
      <c r="H66" s="6" t="n">
        <v>97.5</v>
      </c>
    </row>
    <row r="67" customFormat="false" ht="15.75" hidden="false" customHeight="true" outlineLevel="0" collapsed="false">
      <c r="A67" s="3" t="s">
        <v>131</v>
      </c>
      <c r="B67" s="3" t="s">
        <v>36</v>
      </c>
      <c r="C67" s="3" t="s">
        <v>38</v>
      </c>
      <c r="D67" s="3" t="s">
        <v>31</v>
      </c>
      <c r="E67" s="4" t="n">
        <v>0.5</v>
      </c>
      <c r="F67" s="4" t="n">
        <v>2024</v>
      </c>
      <c r="G67" s="4" t="n">
        <v>210</v>
      </c>
      <c r="H67" s="4" t="n">
        <v>105</v>
      </c>
    </row>
    <row r="68" customFormat="false" ht="15.75" hidden="false" customHeight="true" outlineLevel="0" collapsed="false">
      <c r="A68" s="5" t="s">
        <v>131</v>
      </c>
      <c r="B68" s="5" t="s">
        <v>36</v>
      </c>
      <c r="C68" s="5" t="s">
        <v>39</v>
      </c>
      <c r="D68" s="5" t="s">
        <v>26</v>
      </c>
      <c r="E68" s="6" t="n">
        <v>0.8</v>
      </c>
      <c r="F68" s="6" t="n">
        <v>2020</v>
      </c>
      <c r="G68" s="6" t="n">
        <v>70</v>
      </c>
      <c r="H68" s="6" t="n">
        <v>56</v>
      </c>
    </row>
    <row r="69" customFormat="false" ht="15.75" hidden="false" customHeight="true" outlineLevel="0" collapsed="false">
      <c r="A69" s="3" t="s">
        <v>131</v>
      </c>
      <c r="B69" s="3" t="s">
        <v>36</v>
      </c>
      <c r="C69" s="3" t="s">
        <v>39</v>
      </c>
      <c r="D69" s="3" t="s">
        <v>26</v>
      </c>
      <c r="E69" s="4" t="n">
        <v>0.8</v>
      </c>
      <c r="F69" s="4" t="n">
        <v>2021</v>
      </c>
      <c r="G69" s="4" t="n">
        <v>80</v>
      </c>
      <c r="H69" s="4" t="n">
        <v>64</v>
      </c>
    </row>
    <row r="70" customFormat="false" ht="15.75" hidden="false" customHeight="true" outlineLevel="0" collapsed="false">
      <c r="A70" s="5" t="s">
        <v>131</v>
      </c>
      <c r="B70" s="5" t="s">
        <v>36</v>
      </c>
      <c r="C70" s="5" t="s">
        <v>39</v>
      </c>
      <c r="D70" s="5" t="s">
        <v>26</v>
      </c>
      <c r="E70" s="6" t="n">
        <v>0.8</v>
      </c>
      <c r="F70" s="6" t="n">
        <v>2022</v>
      </c>
      <c r="G70" s="6" t="n">
        <v>90</v>
      </c>
      <c r="H70" s="6" t="n">
        <v>72</v>
      </c>
    </row>
    <row r="71" customFormat="false" ht="15.75" hidden="false" customHeight="true" outlineLevel="0" collapsed="false">
      <c r="A71" s="3" t="s">
        <v>131</v>
      </c>
      <c r="B71" s="3" t="s">
        <v>36</v>
      </c>
      <c r="C71" s="3" t="s">
        <v>39</v>
      </c>
      <c r="D71" s="3" t="s">
        <v>26</v>
      </c>
      <c r="E71" s="4" t="n">
        <v>0.8</v>
      </c>
      <c r="F71" s="4" t="n">
        <v>2023</v>
      </c>
      <c r="G71" s="4" t="n">
        <v>100</v>
      </c>
      <c r="H71" s="4" t="n">
        <v>80</v>
      </c>
    </row>
    <row r="72" customFormat="false" ht="15.75" hidden="false" customHeight="true" outlineLevel="0" collapsed="false">
      <c r="A72" s="5" t="s">
        <v>131</v>
      </c>
      <c r="B72" s="5" t="s">
        <v>36</v>
      </c>
      <c r="C72" s="5" t="s">
        <v>39</v>
      </c>
      <c r="D72" s="5" t="s">
        <v>26</v>
      </c>
      <c r="E72" s="6" t="n">
        <v>0.8</v>
      </c>
      <c r="F72" s="6" t="n">
        <v>2024</v>
      </c>
      <c r="G72" s="6" t="n">
        <v>115</v>
      </c>
      <c r="H72" s="6" t="n">
        <v>92</v>
      </c>
    </row>
    <row r="73" customFormat="false" ht="15.75" hidden="false" customHeight="true" outlineLevel="0" collapsed="false">
      <c r="A73" s="3" t="s">
        <v>131</v>
      </c>
      <c r="B73" s="3" t="s">
        <v>36</v>
      </c>
      <c r="C73" s="3" t="s">
        <v>40</v>
      </c>
      <c r="D73" s="3" t="s">
        <v>35</v>
      </c>
      <c r="E73" s="4" t="n">
        <v>0.6</v>
      </c>
      <c r="F73" s="4" t="n">
        <v>2020</v>
      </c>
      <c r="G73" s="4" t="n">
        <v>55</v>
      </c>
      <c r="H73" s="4" t="n">
        <v>33</v>
      </c>
    </row>
    <row r="74" customFormat="false" ht="15.75" hidden="false" customHeight="true" outlineLevel="0" collapsed="false">
      <c r="A74" s="5" t="s">
        <v>131</v>
      </c>
      <c r="B74" s="5" t="s">
        <v>36</v>
      </c>
      <c r="C74" s="5" t="s">
        <v>40</v>
      </c>
      <c r="D74" s="5" t="s">
        <v>35</v>
      </c>
      <c r="E74" s="6" t="n">
        <v>0.6</v>
      </c>
      <c r="F74" s="6" t="n">
        <v>2021</v>
      </c>
      <c r="G74" s="6" t="n">
        <v>65</v>
      </c>
      <c r="H74" s="6" t="n">
        <v>39</v>
      </c>
    </row>
    <row r="75" customFormat="false" ht="15.75" hidden="false" customHeight="true" outlineLevel="0" collapsed="false">
      <c r="A75" s="3" t="s">
        <v>131</v>
      </c>
      <c r="B75" s="3" t="s">
        <v>36</v>
      </c>
      <c r="C75" s="3" t="s">
        <v>40</v>
      </c>
      <c r="D75" s="3" t="s">
        <v>35</v>
      </c>
      <c r="E75" s="4" t="n">
        <v>0.6</v>
      </c>
      <c r="F75" s="4" t="n">
        <v>2022</v>
      </c>
      <c r="G75" s="4" t="n">
        <v>75</v>
      </c>
      <c r="H75" s="4" t="n">
        <v>45</v>
      </c>
    </row>
    <row r="76" customFormat="false" ht="15.75" hidden="false" customHeight="true" outlineLevel="0" collapsed="false">
      <c r="A76" s="5" t="s">
        <v>131</v>
      </c>
      <c r="B76" s="5" t="s">
        <v>36</v>
      </c>
      <c r="C76" s="5" t="s">
        <v>40</v>
      </c>
      <c r="D76" s="5" t="s">
        <v>35</v>
      </c>
      <c r="E76" s="6" t="n">
        <v>0.6</v>
      </c>
      <c r="F76" s="6" t="n">
        <v>2023</v>
      </c>
      <c r="G76" s="6" t="n">
        <v>85</v>
      </c>
      <c r="H76" s="6" t="n">
        <v>51</v>
      </c>
    </row>
    <row r="77" customFormat="false" ht="15.75" hidden="false" customHeight="true" outlineLevel="0" collapsed="false">
      <c r="A77" s="3" t="s">
        <v>131</v>
      </c>
      <c r="B77" s="3" t="s">
        <v>36</v>
      </c>
      <c r="C77" s="3" t="s">
        <v>40</v>
      </c>
      <c r="D77" s="3" t="s">
        <v>35</v>
      </c>
      <c r="E77" s="4" t="n">
        <v>0.6</v>
      </c>
      <c r="F77" s="4" t="n">
        <v>2024</v>
      </c>
      <c r="G77" s="4" t="n">
        <v>95</v>
      </c>
      <c r="H77" s="4" t="n">
        <v>57</v>
      </c>
    </row>
    <row r="78" customFormat="false" ht="15.75" hidden="false" customHeight="true" outlineLevel="0" collapsed="false">
      <c r="A78" s="5" t="s">
        <v>131</v>
      </c>
      <c r="B78" s="5" t="s">
        <v>41</v>
      </c>
      <c r="C78" s="5" t="s">
        <v>42</v>
      </c>
      <c r="D78" s="5" t="s">
        <v>20</v>
      </c>
      <c r="E78" s="6" t="n">
        <v>0.9</v>
      </c>
      <c r="F78" s="6" t="n">
        <v>2020</v>
      </c>
      <c r="G78" s="6" t="n">
        <v>160</v>
      </c>
      <c r="H78" s="6" t="n">
        <v>144</v>
      </c>
    </row>
    <row r="79" customFormat="false" ht="15.75" hidden="false" customHeight="true" outlineLevel="0" collapsed="false">
      <c r="A79" s="3" t="s">
        <v>131</v>
      </c>
      <c r="B79" s="3" t="s">
        <v>41</v>
      </c>
      <c r="C79" s="3" t="s">
        <v>42</v>
      </c>
      <c r="D79" s="3" t="s">
        <v>20</v>
      </c>
      <c r="E79" s="4" t="n">
        <v>0.9</v>
      </c>
      <c r="F79" s="4" t="n">
        <v>2021</v>
      </c>
      <c r="G79" s="4" t="n">
        <v>180</v>
      </c>
      <c r="H79" s="4" t="n">
        <v>162</v>
      </c>
    </row>
    <row r="80" customFormat="false" ht="15.75" hidden="false" customHeight="true" outlineLevel="0" collapsed="false">
      <c r="A80" s="5" t="s">
        <v>131</v>
      </c>
      <c r="B80" s="5" t="s">
        <v>41</v>
      </c>
      <c r="C80" s="5" t="s">
        <v>42</v>
      </c>
      <c r="D80" s="5" t="s">
        <v>20</v>
      </c>
      <c r="E80" s="6" t="n">
        <v>0.9</v>
      </c>
      <c r="F80" s="6" t="n">
        <v>2022</v>
      </c>
      <c r="G80" s="6" t="n">
        <v>200</v>
      </c>
      <c r="H80" s="6" t="n">
        <v>180</v>
      </c>
    </row>
    <row r="81" customFormat="false" ht="15.75" hidden="false" customHeight="true" outlineLevel="0" collapsed="false">
      <c r="A81" s="3" t="s">
        <v>131</v>
      </c>
      <c r="B81" s="3" t="s">
        <v>41</v>
      </c>
      <c r="C81" s="3" t="s">
        <v>42</v>
      </c>
      <c r="D81" s="3" t="s">
        <v>20</v>
      </c>
      <c r="E81" s="4" t="n">
        <v>0.9</v>
      </c>
      <c r="F81" s="4" t="n">
        <v>2023</v>
      </c>
      <c r="G81" s="4" t="n">
        <v>220</v>
      </c>
      <c r="H81" s="4" t="n">
        <v>198</v>
      </c>
    </row>
    <row r="82" customFormat="false" ht="15.75" hidden="false" customHeight="true" outlineLevel="0" collapsed="false">
      <c r="A82" s="5" t="s">
        <v>131</v>
      </c>
      <c r="B82" s="5" t="s">
        <v>41</v>
      </c>
      <c r="C82" s="5" t="s">
        <v>42</v>
      </c>
      <c r="D82" s="5" t="s">
        <v>20</v>
      </c>
      <c r="E82" s="6" t="n">
        <v>0.9</v>
      </c>
      <c r="F82" s="6" t="n">
        <v>2024</v>
      </c>
      <c r="G82" s="6" t="n">
        <v>245</v>
      </c>
      <c r="H82" s="6" t="n">
        <v>220.5</v>
      </c>
    </row>
    <row r="83" customFormat="false" ht="15.75" hidden="false" customHeight="true" outlineLevel="0" collapsed="false">
      <c r="A83" s="3" t="s">
        <v>131</v>
      </c>
      <c r="B83" s="3" t="s">
        <v>41</v>
      </c>
      <c r="C83" s="3" t="s">
        <v>43</v>
      </c>
      <c r="D83" s="3" t="s">
        <v>16</v>
      </c>
      <c r="E83" s="4" t="n">
        <v>0.85</v>
      </c>
      <c r="F83" s="4" t="n">
        <v>2020</v>
      </c>
      <c r="G83" s="4" t="n">
        <v>90</v>
      </c>
      <c r="H83" s="4" t="n">
        <v>76.5</v>
      </c>
    </row>
    <row r="84" customFormat="false" ht="15.75" hidden="false" customHeight="true" outlineLevel="0" collapsed="false">
      <c r="A84" s="5" t="s">
        <v>131</v>
      </c>
      <c r="B84" s="5" t="s">
        <v>41</v>
      </c>
      <c r="C84" s="5" t="s">
        <v>43</v>
      </c>
      <c r="D84" s="5" t="s">
        <v>16</v>
      </c>
      <c r="E84" s="6" t="n">
        <v>0.85</v>
      </c>
      <c r="F84" s="6" t="n">
        <v>2021</v>
      </c>
      <c r="G84" s="6" t="n">
        <v>105</v>
      </c>
      <c r="H84" s="6" t="n">
        <v>89.2</v>
      </c>
    </row>
    <row r="85" customFormat="false" ht="15.75" hidden="false" customHeight="true" outlineLevel="0" collapsed="false">
      <c r="A85" s="3" t="s">
        <v>131</v>
      </c>
      <c r="B85" s="3" t="s">
        <v>41</v>
      </c>
      <c r="C85" s="3" t="s">
        <v>43</v>
      </c>
      <c r="D85" s="3" t="s">
        <v>16</v>
      </c>
      <c r="E85" s="4" t="n">
        <v>0.85</v>
      </c>
      <c r="F85" s="4" t="n">
        <v>2022</v>
      </c>
      <c r="G85" s="4" t="n">
        <v>120</v>
      </c>
      <c r="H85" s="4" t="n">
        <v>102</v>
      </c>
    </row>
    <row r="86" customFormat="false" ht="15.75" hidden="false" customHeight="true" outlineLevel="0" collapsed="false">
      <c r="A86" s="5" t="s">
        <v>131</v>
      </c>
      <c r="B86" s="5" t="s">
        <v>41</v>
      </c>
      <c r="C86" s="5" t="s">
        <v>43</v>
      </c>
      <c r="D86" s="5" t="s">
        <v>16</v>
      </c>
      <c r="E86" s="6" t="n">
        <v>0.85</v>
      </c>
      <c r="F86" s="6" t="n">
        <v>2023</v>
      </c>
      <c r="G86" s="6" t="n">
        <v>135</v>
      </c>
      <c r="H86" s="6" t="n">
        <v>114.8</v>
      </c>
    </row>
    <row r="87" customFormat="false" ht="15.75" hidden="false" customHeight="true" outlineLevel="0" collapsed="false">
      <c r="A87" s="3" t="s">
        <v>131</v>
      </c>
      <c r="B87" s="3" t="s">
        <v>41</v>
      </c>
      <c r="C87" s="3" t="s">
        <v>43</v>
      </c>
      <c r="D87" s="3" t="s">
        <v>16</v>
      </c>
      <c r="E87" s="4" t="n">
        <v>0.85</v>
      </c>
      <c r="F87" s="4" t="n">
        <v>2024</v>
      </c>
      <c r="G87" s="4" t="n">
        <v>150</v>
      </c>
      <c r="H87" s="4" t="n">
        <v>127.5</v>
      </c>
    </row>
    <row r="88" customFormat="false" ht="15.75" hidden="false" customHeight="true" outlineLevel="0" collapsed="false">
      <c r="A88" s="5" t="s">
        <v>131</v>
      </c>
      <c r="B88" s="5" t="s">
        <v>44</v>
      </c>
      <c r="C88" s="5" t="s">
        <v>45</v>
      </c>
      <c r="D88" s="5" t="s">
        <v>31</v>
      </c>
      <c r="E88" s="6" t="n">
        <v>0.7</v>
      </c>
      <c r="F88" s="6" t="n">
        <v>2020</v>
      </c>
      <c r="G88" s="6" t="n">
        <v>85</v>
      </c>
      <c r="H88" s="6" t="n">
        <v>59.5</v>
      </c>
    </row>
    <row r="89" customFormat="false" ht="15.75" hidden="false" customHeight="true" outlineLevel="0" collapsed="false">
      <c r="A89" s="3" t="s">
        <v>131</v>
      </c>
      <c r="B89" s="3" t="s">
        <v>44</v>
      </c>
      <c r="C89" s="3" t="s">
        <v>45</v>
      </c>
      <c r="D89" s="3" t="s">
        <v>31</v>
      </c>
      <c r="E89" s="4" t="n">
        <v>0.7</v>
      </c>
      <c r="F89" s="4" t="n">
        <v>2021</v>
      </c>
      <c r="G89" s="4" t="n">
        <v>95</v>
      </c>
      <c r="H89" s="4" t="n">
        <v>66.5</v>
      </c>
    </row>
    <row r="90" customFormat="false" ht="15.75" hidden="false" customHeight="true" outlineLevel="0" collapsed="false">
      <c r="A90" s="5" t="s">
        <v>131</v>
      </c>
      <c r="B90" s="5" t="s">
        <v>44</v>
      </c>
      <c r="C90" s="5" t="s">
        <v>45</v>
      </c>
      <c r="D90" s="5" t="s">
        <v>31</v>
      </c>
      <c r="E90" s="6" t="n">
        <v>0.7</v>
      </c>
      <c r="F90" s="6" t="n">
        <v>2022</v>
      </c>
      <c r="G90" s="6" t="n">
        <v>110</v>
      </c>
      <c r="H90" s="6" t="n">
        <v>77</v>
      </c>
    </row>
    <row r="91" customFormat="false" ht="15.75" hidden="false" customHeight="true" outlineLevel="0" collapsed="false">
      <c r="A91" s="3" t="s">
        <v>131</v>
      </c>
      <c r="B91" s="3" t="s">
        <v>44</v>
      </c>
      <c r="C91" s="3" t="s">
        <v>45</v>
      </c>
      <c r="D91" s="3" t="s">
        <v>31</v>
      </c>
      <c r="E91" s="4" t="n">
        <v>0.7</v>
      </c>
      <c r="F91" s="4" t="n">
        <v>2023</v>
      </c>
      <c r="G91" s="4" t="n">
        <v>125</v>
      </c>
      <c r="H91" s="4" t="n">
        <v>87.5</v>
      </c>
    </row>
    <row r="92" customFormat="false" ht="15.75" hidden="false" customHeight="true" outlineLevel="0" collapsed="false">
      <c r="A92" s="5" t="s">
        <v>131</v>
      </c>
      <c r="B92" s="5" t="s">
        <v>44</v>
      </c>
      <c r="C92" s="5" t="s">
        <v>45</v>
      </c>
      <c r="D92" s="5" t="s">
        <v>31</v>
      </c>
      <c r="E92" s="6" t="n">
        <v>0.7</v>
      </c>
      <c r="F92" s="6" t="n">
        <v>2024</v>
      </c>
      <c r="G92" s="6" t="n">
        <v>140</v>
      </c>
      <c r="H92" s="6" t="n">
        <v>98</v>
      </c>
    </row>
    <row r="93" customFormat="false" ht="15.75" hidden="false" customHeight="true" outlineLevel="0" collapsed="false">
      <c r="A93" s="3" t="s">
        <v>131</v>
      </c>
      <c r="B93" s="3" t="s">
        <v>44</v>
      </c>
      <c r="C93" s="3" t="s">
        <v>46</v>
      </c>
      <c r="D93" s="3" t="s">
        <v>18</v>
      </c>
      <c r="E93" s="4" t="n">
        <v>0.4</v>
      </c>
      <c r="F93" s="4" t="n">
        <v>2020</v>
      </c>
      <c r="G93" s="4" t="n">
        <v>60</v>
      </c>
      <c r="H93" s="4" t="n">
        <v>24</v>
      </c>
    </row>
    <row r="94" customFormat="false" ht="15.75" hidden="false" customHeight="true" outlineLevel="0" collapsed="false">
      <c r="A94" s="5" t="s">
        <v>131</v>
      </c>
      <c r="B94" s="5" t="s">
        <v>44</v>
      </c>
      <c r="C94" s="5" t="s">
        <v>46</v>
      </c>
      <c r="D94" s="5" t="s">
        <v>18</v>
      </c>
      <c r="E94" s="6" t="n">
        <v>0.4</v>
      </c>
      <c r="F94" s="6" t="n">
        <v>2021</v>
      </c>
      <c r="G94" s="6" t="n">
        <v>70</v>
      </c>
      <c r="H94" s="6" t="n">
        <v>28</v>
      </c>
    </row>
    <row r="95" customFormat="false" ht="15.75" hidden="false" customHeight="true" outlineLevel="0" collapsed="false">
      <c r="A95" s="3" t="s">
        <v>131</v>
      </c>
      <c r="B95" s="3" t="s">
        <v>44</v>
      </c>
      <c r="C95" s="3" t="s">
        <v>46</v>
      </c>
      <c r="D95" s="3" t="s">
        <v>18</v>
      </c>
      <c r="E95" s="4" t="n">
        <v>0.4</v>
      </c>
      <c r="F95" s="4" t="n">
        <v>2022</v>
      </c>
      <c r="G95" s="4" t="n">
        <v>80</v>
      </c>
      <c r="H95" s="4" t="n">
        <v>32</v>
      </c>
    </row>
    <row r="96" customFormat="false" ht="15.75" hidden="false" customHeight="true" outlineLevel="0" collapsed="false">
      <c r="A96" s="5" t="s">
        <v>131</v>
      </c>
      <c r="B96" s="5" t="s">
        <v>44</v>
      </c>
      <c r="C96" s="5" t="s">
        <v>46</v>
      </c>
      <c r="D96" s="5" t="s">
        <v>18</v>
      </c>
      <c r="E96" s="6" t="n">
        <v>0.4</v>
      </c>
      <c r="F96" s="6" t="n">
        <v>2023</v>
      </c>
      <c r="G96" s="6" t="n">
        <v>90</v>
      </c>
      <c r="H96" s="6" t="n">
        <v>36</v>
      </c>
    </row>
    <row r="97" customFormat="false" ht="15.75" hidden="false" customHeight="true" outlineLevel="0" collapsed="false">
      <c r="A97" s="3" t="s">
        <v>131</v>
      </c>
      <c r="B97" s="3" t="s">
        <v>44</v>
      </c>
      <c r="C97" s="3" t="s">
        <v>46</v>
      </c>
      <c r="D97" s="3" t="s">
        <v>18</v>
      </c>
      <c r="E97" s="4" t="n">
        <v>0.4</v>
      </c>
      <c r="F97" s="4" t="n">
        <v>2024</v>
      </c>
      <c r="G97" s="4" t="n">
        <v>100</v>
      </c>
      <c r="H97" s="4" t="n">
        <v>40</v>
      </c>
    </row>
    <row r="98" customFormat="false" ht="15.75" hidden="false" customHeight="true" outlineLevel="0" collapsed="false">
      <c r="A98" s="5" t="s">
        <v>131</v>
      </c>
      <c r="B98" s="5" t="s">
        <v>47</v>
      </c>
      <c r="C98" s="5" t="s">
        <v>48</v>
      </c>
      <c r="D98" s="5" t="s">
        <v>35</v>
      </c>
      <c r="E98" s="6" t="n">
        <v>0.3</v>
      </c>
      <c r="F98" s="6" t="n">
        <v>2020</v>
      </c>
      <c r="G98" s="6" t="n">
        <v>45</v>
      </c>
      <c r="H98" s="6" t="n">
        <v>13.5</v>
      </c>
    </row>
    <row r="99" customFormat="false" ht="15.75" hidden="false" customHeight="true" outlineLevel="0" collapsed="false">
      <c r="A99" s="3" t="s">
        <v>131</v>
      </c>
      <c r="B99" s="3" t="s">
        <v>47</v>
      </c>
      <c r="C99" s="3" t="s">
        <v>48</v>
      </c>
      <c r="D99" s="3" t="s">
        <v>35</v>
      </c>
      <c r="E99" s="4" t="n">
        <v>0.3</v>
      </c>
      <c r="F99" s="4" t="n">
        <v>2021</v>
      </c>
      <c r="G99" s="4" t="n">
        <v>55</v>
      </c>
      <c r="H99" s="4" t="n">
        <v>16.5</v>
      </c>
    </row>
    <row r="100" customFormat="false" ht="15.75" hidden="false" customHeight="true" outlineLevel="0" collapsed="false">
      <c r="A100" s="5" t="s">
        <v>131</v>
      </c>
      <c r="B100" s="5" t="s">
        <v>47</v>
      </c>
      <c r="C100" s="5" t="s">
        <v>48</v>
      </c>
      <c r="D100" s="5" t="s">
        <v>35</v>
      </c>
      <c r="E100" s="6" t="n">
        <v>0.3</v>
      </c>
      <c r="F100" s="6" t="n">
        <v>2022</v>
      </c>
      <c r="G100" s="6" t="n">
        <v>65</v>
      </c>
      <c r="H100" s="6" t="n">
        <v>19.5</v>
      </c>
    </row>
    <row r="101" customFormat="false" ht="15.75" hidden="false" customHeight="true" outlineLevel="0" collapsed="false">
      <c r="A101" s="3" t="s">
        <v>131</v>
      </c>
      <c r="B101" s="3" t="s">
        <v>47</v>
      </c>
      <c r="C101" s="3" t="s">
        <v>48</v>
      </c>
      <c r="D101" s="3" t="s">
        <v>35</v>
      </c>
      <c r="E101" s="4" t="n">
        <v>0.3</v>
      </c>
      <c r="F101" s="4" t="n">
        <v>2023</v>
      </c>
      <c r="G101" s="4" t="n">
        <v>75</v>
      </c>
      <c r="H101" s="4" t="n">
        <v>22.5</v>
      </c>
    </row>
    <row r="102" customFormat="false" ht="15.75" hidden="false" customHeight="true" outlineLevel="0" collapsed="false">
      <c r="A102" s="5" t="s">
        <v>131</v>
      </c>
      <c r="B102" s="5" t="s">
        <v>47</v>
      </c>
      <c r="C102" s="5" t="s">
        <v>48</v>
      </c>
      <c r="D102" s="5" t="s">
        <v>35</v>
      </c>
      <c r="E102" s="6" t="n">
        <v>0.3</v>
      </c>
      <c r="F102" s="6" t="n">
        <v>2024</v>
      </c>
      <c r="G102" s="6" t="n">
        <v>85</v>
      </c>
      <c r="H102" s="6" t="n">
        <v>25.5</v>
      </c>
    </row>
    <row r="103" customFormat="false" ht="15.75" hidden="false" customHeight="true" outlineLevel="0" collapsed="false">
      <c r="A103" s="3" t="s">
        <v>131</v>
      </c>
      <c r="B103" s="3" t="s">
        <v>47</v>
      </c>
      <c r="C103" s="3" t="s">
        <v>49</v>
      </c>
      <c r="D103" s="3" t="s">
        <v>22</v>
      </c>
      <c r="E103" s="4" t="n">
        <v>0.7</v>
      </c>
      <c r="F103" s="4" t="n">
        <v>2020</v>
      </c>
      <c r="G103" s="4" t="n">
        <v>75</v>
      </c>
      <c r="H103" s="4" t="n">
        <v>52.5</v>
      </c>
    </row>
    <row r="104" customFormat="false" ht="15.75" hidden="false" customHeight="true" outlineLevel="0" collapsed="false">
      <c r="A104" s="5" t="s">
        <v>131</v>
      </c>
      <c r="B104" s="5" t="s">
        <v>47</v>
      </c>
      <c r="C104" s="5" t="s">
        <v>49</v>
      </c>
      <c r="D104" s="5" t="s">
        <v>22</v>
      </c>
      <c r="E104" s="6" t="n">
        <v>0.7</v>
      </c>
      <c r="F104" s="6" t="n">
        <v>2021</v>
      </c>
      <c r="G104" s="6" t="n">
        <v>85</v>
      </c>
      <c r="H104" s="6" t="n">
        <v>59.5</v>
      </c>
    </row>
    <row r="105" customFormat="false" ht="15.75" hidden="false" customHeight="true" outlineLevel="0" collapsed="false">
      <c r="A105" s="3" t="s">
        <v>131</v>
      </c>
      <c r="B105" s="3" t="s">
        <v>47</v>
      </c>
      <c r="C105" s="3" t="s">
        <v>49</v>
      </c>
      <c r="D105" s="3" t="s">
        <v>22</v>
      </c>
      <c r="E105" s="4" t="n">
        <v>0.7</v>
      </c>
      <c r="F105" s="4" t="n">
        <v>2022</v>
      </c>
      <c r="G105" s="4" t="n">
        <v>95</v>
      </c>
      <c r="H105" s="4" t="n">
        <v>66.5</v>
      </c>
    </row>
    <row r="106" customFormat="false" ht="15.75" hidden="false" customHeight="true" outlineLevel="0" collapsed="false">
      <c r="A106" s="5" t="s">
        <v>131</v>
      </c>
      <c r="B106" s="5" t="s">
        <v>47</v>
      </c>
      <c r="C106" s="5" t="s">
        <v>49</v>
      </c>
      <c r="D106" s="5" t="s">
        <v>22</v>
      </c>
      <c r="E106" s="6" t="n">
        <v>0.7</v>
      </c>
      <c r="F106" s="6" t="n">
        <v>2023</v>
      </c>
      <c r="G106" s="6" t="n">
        <v>110</v>
      </c>
      <c r="H106" s="6" t="n">
        <v>77</v>
      </c>
    </row>
    <row r="107" customFormat="false" ht="15.75" hidden="false" customHeight="true" outlineLevel="0" collapsed="false">
      <c r="A107" s="3" t="s">
        <v>131</v>
      </c>
      <c r="B107" s="3" t="s">
        <v>47</v>
      </c>
      <c r="C107" s="3" t="s">
        <v>49</v>
      </c>
      <c r="D107" s="3" t="s">
        <v>22</v>
      </c>
      <c r="E107" s="4" t="n">
        <v>0.7</v>
      </c>
      <c r="F107" s="4" t="n">
        <v>2024</v>
      </c>
      <c r="G107" s="4" t="n">
        <v>125</v>
      </c>
      <c r="H107" s="4" t="n">
        <v>87.5</v>
      </c>
    </row>
    <row r="108" customFormat="false" ht="15.75" hidden="false" customHeight="true" outlineLevel="0" collapsed="false">
      <c r="A108" s="5" t="s">
        <v>132</v>
      </c>
      <c r="B108" s="5" t="s">
        <v>53</v>
      </c>
      <c r="C108" s="5" t="s">
        <v>54</v>
      </c>
      <c r="D108" s="5" t="s">
        <v>16</v>
      </c>
      <c r="E108" s="6" t="n">
        <v>1</v>
      </c>
      <c r="F108" s="6" t="n">
        <v>2020</v>
      </c>
      <c r="G108" s="6" t="n">
        <v>420</v>
      </c>
      <c r="H108" s="6" t="n">
        <v>420</v>
      </c>
    </row>
    <row r="109" customFormat="false" ht="15.75" hidden="false" customHeight="true" outlineLevel="0" collapsed="false">
      <c r="A109" s="13" t="s">
        <v>132</v>
      </c>
      <c r="B109" s="13" t="s">
        <v>53</v>
      </c>
      <c r="C109" s="13" t="s">
        <v>54</v>
      </c>
      <c r="D109" s="13" t="s">
        <v>16</v>
      </c>
      <c r="E109" s="14" t="n">
        <v>1</v>
      </c>
      <c r="F109" s="14" t="n">
        <v>2021</v>
      </c>
      <c r="G109" s="14" t="n">
        <v>460</v>
      </c>
      <c r="H109" s="14" t="n">
        <v>460</v>
      </c>
    </row>
    <row r="110" customFormat="false" ht="15.75" hidden="false" customHeight="true" outlineLevel="0" collapsed="false">
      <c r="A110" s="5" t="s">
        <v>132</v>
      </c>
      <c r="B110" s="5" t="s">
        <v>53</v>
      </c>
      <c r="C110" s="5" t="s">
        <v>54</v>
      </c>
      <c r="D110" s="5" t="s">
        <v>16</v>
      </c>
      <c r="E110" s="6" t="n">
        <v>1</v>
      </c>
      <c r="F110" s="6" t="n">
        <v>2022</v>
      </c>
      <c r="G110" s="6" t="n">
        <v>510</v>
      </c>
      <c r="H110" s="6" t="n">
        <v>510</v>
      </c>
    </row>
    <row r="111" customFormat="false" ht="15.75" hidden="false" customHeight="true" outlineLevel="0" collapsed="false">
      <c r="A111" s="13" t="s">
        <v>132</v>
      </c>
      <c r="B111" s="13" t="s">
        <v>53</v>
      </c>
      <c r="C111" s="13" t="s">
        <v>54</v>
      </c>
      <c r="D111" s="13" t="s">
        <v>16</v>
      </c>
      <c r="E111" s="14" t="n">
        <v>1</v>
      </c>
      <c r="F111" s="14" t="n">
        <v>2023</v>
      </c>
      <c r="G111" s="14" t="n">
        <v>560</v>
      </c>
      <c r="H111" s="14" t="n">
        <v>560</v>
      </c>
    </row>
    <row r="112" customFormat="false" ht="15.75" hidden="false" customHeight="true" outlineLevel="0" collapsed="false">
      <c r="A112" s="5" t="s">
        <v>132</v>
      </c>
      <c r="B112" s="5" t="s">
        <v>53</v>
      </c>
      <c r="C112" s="5" t="s">
        <v>54</v>
      </c>
      <c r="D112" s="5" t="s">
        <v>16</v>
      </c>
      <c r="E112" s="6" t="n">
        <v>1</v>
      </c>
      <c r="F112" s="6" t="n">
        <v>2024</v>
      </c>
      <c r="G112" s="6" t="n">
        <v>600</v>
      </c>
      <c r="H112" s="6" t="n">
        <v>600</v>
      </c>
    </row>
    <row r="113" customFormat="false" ht="15.75" hidden="false" customHeight="true" outlineLevel="0" collapsed="false">
      <c r="A113" s="13" t="s">
        <v>132</v>
      </c>
      <c r="B113" s="13" t="s">
        <v>53</v>
      </c>
      <c r="C113" s="13" t="s">
        <v>55</v>
      </c>
      <c r="D113" s="13" t="s">
        <v>29</v>
      </c>
      <c r="E113" s="14" t="n">
        <v>0.9</v>
      </c>
      <c r="F113" s="14" t="n">
        <v>2020</v>
      </c>
      <c r="G113" s="14" t="n">
        <v>180</v>
      </c>
      <c r="H113" s="14" t="n">
        <v>162</v>
      </c>
    </row>
    <row r="114" customFormat="false" ht="15.75" hidden="false" customHeight="true" outlineLevel="0" collapsed="false">
      <c r="A114" s="5" t="s">
        <v>132</v>
      </c>
      <c r="B114" s="5" t="s">
        <v>53</v>
      </c>
      <c r="C114" s="5" t="s">
        <v>55</v>
      </c>
      <c r="D114" s="5" t="s">
        <v>29</v>
      </c>
      <c r="E114" s="6" t="n">
        <v>0.9</v>
      </c>
      <c r="F114" s="6" t="n">
        <v>2021</v>
      </c>
      <c r="G114" s="6" t="n">
        <v>200</v>
      </c>
      <c r="H114" s="6" t="n">
        <v>180</v>
      </c>
    </row>
    <row r="115" customFormat="false" ht="15.75" hidden="false" customHeight="true" outlineLevel="0" collapsed="false">
      <c r="A115" s="13" t="s">
        <v>132</v>
      </c>
      <c r="B115" s="13" t="s">
        <v>53</v>
      </c>
      <c r="C115" s="13" t="s">
        <v>55</v>
      </c>
      <c r="D115" s="13" t="s">
        <v>29</v>
      </c>
      <c r="E115" s="14" t="n">
        <v>0.9</v>
      </c>
      <c r="F115" s="14" t="n">
        <v>2022</v>
      </c>
      <c r="G115" s="14" t="n">
        <v>225</v>
      </c>
      <c r="H115" s="14" t="n">
        <v>202.5</v>
      </c>
    </row>
    <row r="116" customFormat="false" ht="15.75" hidden="false" customHeight="true" outlineLevel="0" collapsed="false">
      <c r="A116" s="5" t="s">
        <v>132</v>
      </c>
      <c r="B116" s="5" t="s">
        <v>53</v>
      </c>
      <c r="C116" s="5" t="s">
        <v>55</v>
      </c>
      <c r="D116" s="5" t="s">
        <v>29</v>
      </c>
      <c r="E116" s="6" t="n">
        <v>0.9</v>
      </c>
      <c r="F116" s="6" t="n">
        <v>2023</v>
      </c>
      <c r="G116" s="6" t="n">
        <v>250</v>
      </c>
      <c r="H116" s="6" t="n">
        <v>225</v>
      </c>
    </row>
    <row r="117" customFormat="false" ht="15.75" hidden="false" customHeight="true" outlineLevel="0" collapsed="false">
      <c r="A117" s="13" t="s">
        <v>132</v>
      </c>
      <c r="B117" s="13" t="s">
        <v>53</v>
      </c>
      <c r="C117" s="13" t="s">
        <v>55</v>
      </c>
      <c r="D117" s="13" t="s">
        <v>29</v>
      </c>
      <c r="E117" s="14" t="n">
        <v>0.9</v>
      </c>
      <c r="F117" s="14" t="n">
        <v>2024</v>
      </c>
      <c r="G117" s="14" t="n">
        <v>275</v>
      </c>
      <c r="H117" s="14" t="n">
        <v>247.5</v>
      </c>
    </row>
    <row r="118" customFormat="false" ht="15.75" hidden="false" customHeight="true" outlineLevel="0" collapsed="false">
      <c r="A118" s="5" t="s">
        <v>132</v>
      </c>
      <c r="B118" s="5" t="s">
        <v>56</v>
      </c>
      <c r="C118" s="5" t="s">
        <v>57</v>
      </c>
      <c r="D118" s="5" t="s">
        <v>16</v>
      </c>
      <c r="E118" s="6" t="n">
        <v>1</v>
      </c>
      <c r="F118" s="6" t="n">
        <v>2020</v>
      </c>
      <c r="G118" s="6" t="n">
        <v>310</v>
      </c>
      <c r="H118" s="6" t="n">
        <v>310</v>
      </c>
    </row>
    <row r="119" customFormat="false" ht="15.75" hidden="false" customHeight="true" outlineLevel="0" collapsed="false">
      <c r="A119" s="13" t="s">
        <v>132</v>
      </c>
      <c r="B119" s="13" t="s">
        <v>56</v>
      </c>
      <c r="C119" s="13" t="s">
        <v>57</v>
      </c>
      <c r="D119" s="13" t="s">
        <v>16</v>
      </c>
      <c r="E119" s="14" t="n">
        <v>1</v>
      </c>
      <c r="F119" s="14" t="n">
        <v>2021</v>
      </c>
      <c r="G119" s="14" t="n">
        <v>340</v>
      </c>
      <c r="H119" s="14" t="n">
        <v>340</v>
      </c>
    </row>
    <row r="120" customFormat="false" ht="15.75" hidden="false" customHeight="true" outlineLevel="0" collapsed="false">
      <c r="A120" s="5" t="s">
        <v>132</v>
      </c>
      <c r="B120" s="5" t="s">
        <v>56</v>
      </c>
      <c r="C120" s="5" t="s">
        <v>57</v>
      </c>
      <c r="D120" s="5" t="s">
        <v>16</v>
      </c>
      <c r="E120" s="6" t="n">
        <v>1</v>
      </c>
      <c r="F120" s="6" t="n">
        <v>2022</v>
      </c>
      <c r="G120" s="6" t="n">
        <v>375</v>
      </c>
      <c r="H120" s="6" t="n">
        <v>375</v>
      </c>
    </row>
    <row r="121" customFormat="false" ht="15.75" hidden="false" customHeight="true" outlineLevel="0" collapsed="false">
      <c r="A121" s="13" t="s">
        <v>132</v>
      </c>
      <c r="B121" s="13" t="s">
        <v>56</v>
      </c>
      <c r="C121" s="13" t="s">
        <v>57</v>
      </c>
      <c r="D121" s="13" t="s">
        <v>16</v>
      </c>
      <c r="E121" s="14" t="n">
        <v>1</v>
      </c>
      <c r="F121" s="14" t="n">
        <v>2023</v>
      </c>
      <c r="G121" s="14" t="n">
        <v>410</v>
      </c>
      <c r="H121" s="14" t="n">
        <v>410</v>
      </c>
    </row>
    <row r="122" customFormat="false" ht="15.75" hidden="false" customHeight="true" outlineLevel="0" collapsed="false">
      <c r="A122" s="5" t="s">
        <v>132</v>
      </c>
      <c r="B122" s="5" t="s">
        <v>56</v>
      </c>
      <c r="C122" s="5" t="s">
        <v>57</v>
      </c>
      <c r="D122" s="5" t="s">
        <v>16</v>
      </c>
      <c r="E122" s="6" t="n">
        <v>1</v>
      </c>
      <c r="F122" s="6" t="n">
        <v>2024</v>
      </c>
      <c r="G122" s="6" t="n">
        <v>445</v>
      </c>
      <c r="H122" s="6" t="n">
        <v>445</v>
      </c>
    </row>
    <row r="123" customFormat="false" ht="15.75" hidden="false" customHeight="true" outlineLevel="0" collapsed="false">
      <c r="A123" s="13" t="s">
        <v>132</v>
      </c>
      <c r="B123" s="13" t="s">
        <v>56</v>
      </c>
      <c r="C123" s="13" t="s">
        <v>58</v>
      </c>
      <c r="D123" s="13" t="s">
        <v>29</v>
      </c>
      <c r="E123" s="14" t="n">
        <v>0.85</v>
      </c>
      <c r="F123" s="14" t="n">
        <v>2020</v>
      </c>
      <c r="G123" s="14" t="n">
        <v>140</v>
      </c>
      <c r="H123" s="14" t="n">
        <v>119</v>
      </c>
    </row>
    <row r="124" customFormat="false" ht="15.75" hidden="false" customHeight="true" outlineLevel="0" collapsed="false">
      <c r="A124" s="5" t="s">
        <v>132</v>
      </c>
      <c r="B124" s="5" t="s">
        <v>56</v>
      </c>
      <c r="C124" s="5" t="s">
        <v>58</v>
      </c>
      <c r="D124" s="5" t="s">
        <v>29</v>
      </c>
      <c r="E124" s="6" t="n">
        <v>0.85</v>
      </c>
      <c r="F124" s="6" t="n">
        <v>2021</v>
      </c>
      <c r="G124" s="6" t="n">
        <v>160</v>
      </c>
      <c r="H124" s="6" t="n">
        <v>136</v>
      </c>
    </row>
    <row r="125" customFormat="false" ht="15.75" hidden="false" customHeight="true" outlineLevel="0" collapsed="false">
      <c r="A125" s="13" t="s">
        <v>132</v>
      </c>
      <c r="B125" s="13" t="s">
        <v>56</v>
      </c>
      <c r="C125" s="13" t="s">
        <v>58</v>
      </c>
      <c r="D125" s="13" t="s">
        <v>29</v>
      </c>
      <c r="E125" s="14" t="n">
        <v>0.85</v>
      </c>
      <c r="F125" s="14" t="n">
        <v>2022</v>
      </c>
      <c r="G125" s="14" t="n">
        <v>180</v>
      </c>
      <c r="H125" s="14" t="n">
        <v>153</v>
      </c>
    </row>
    <row r="126" customFormat="false" ht="15.75" hidden="false" customHeight="true" outlineLevel="0" collapsed="false">
      <c r="A126" s="5" t="s">
        <v>132</v>
      </c>
      <c r="B126" s="5" t="s">
        <v>56</v>
      </c>
      <c r="C126" s="5" t="s">
        <v>58</v>
      </c>
      <c r="D126" s="5" t="s">
        <v>29</v>
      </c>
      <c r="E126" s="6" t="n">
        <v>0.85</v>
      </c>
      <c r="F126" s="6" t="n">
        <v>2023</v>
      </c>
      <c r="G126" s="6" t="n">
        <v>200</v>
      </c>
      <c r="H126" s="6" t="n">
        <v>170</v>
      </c>
    </row>
    <row r="127" customFormat="false" ht="15.75" hidden="false" customHeight="true" outlineLevel="0" collapsed="false">
      <c r="A127" s="13" t="s">
        <v>132</v>
      </c>
      <c r="B127" s="13" t="s">
        <v>56</v>
      </c>
      <c r="C127" s="13" t="s">
        <v>58</v>
      </c>
      <c r="D127" s="13" t="s">
        <v>29</v>
      </c>
      <c r="E127" s="14" t="n">
        <v>0.85</v>
      </c>
      <c r="F127" s="14" t="n">
        <v>2024</v>
      </c>
      <c r="G127" s="14" t="n">
        <v>220</v>
      </c>
      <c r="H127" s="14" t="n">
        <v>187</v>
      </c>
    </row>
    <row r="128" customFormat="false" ht="15.75" hidden="false" customHeight="true" outlineLevel="0" collapsed="false">
      <c r="A128" s="5" t="s">
        <v>132</v>
      </c>
      <c r="B128" s="5" t="s">
        <v>59</v>
      </c>
      <c r="C128" s="5" t="s">
        <v>60</v>
      </c>
      <c r="D128" s="5" t="s">
        <v>20</v>
      </c>
      <c r="E128" s="6" t="n">
        <v>1</v>
      </c>
      <c r="F128" s="6" t="n">
        <v>2020</v>
      </c>
      <c r="G128" s="6" t="n">
        <v>95</v>
      </c>
      <c r="H128" s="6" t="n">
        <v>95</v>
      </c>
    </row>
    <row r="129" customFormat="false" ht="15.75" hidden="false" customHeight="true" outlineLevel="0" collapsed="false">
      <c r="A129" s="13" t="s">
        <v>132</v>
      </c>
      <c r="B129" s="13" t="s">
        <v>59</v>
      </c>
      <c r="C129" s="13" t="s">
        <v>60</v>
      </c>
      <c r="D129" s="13" t="s">
        <v>20</v>
      </c>
      <c r="E129" s="14" t="n">
        <v>1</v>
      </c>
      <c r="F129" s="14" t="n">
        <v>2021</v>
      </c>
      <c r="G129" s="14" t="n">
        <v>110</v>
      </c>
      <c r="H129" s="14" t="n">
        <v>110</v>
      </c>
    </row>
    <row r="130" customFormat="false" ht="15.75" hidden="false" customHeight="true" outlineLevel="0" collapsed="false">
      <c r="A130" s="5" t="s">
        <v>132</v>
      </c>
      <c r="B130" s="5" t="s">
        <v>59</v>
      </c>
      <c r="C130" s="5" t="s">
        <v>60</v>
      </c>
      <c r="D130" s="5" t="s">
        <v>20</v>
      </c>
      <c r="E130" s="6" t="n">
        <v>1</v>
      </c>
      <c r="F130" s="6" t="n">
        <v>2022</v>
      </c>
      <c r="G130" s="6" t="n">
        <v>125</v>
      </c>
      <c r="H130" s="6" t="n">
        <v>125</v>
      </c>
    </row>
    <row r="131" customFormat="false" ht="15.75" hidden="false" customHeight="true" outlineLevel="0" collapsed="false">
      <c r="A131" s="13" t="s">
        <v>132</v>
      </c>
      <c r="B131" s="13" t="s">
        <v>59</v>
      </c>
      <c r="C131" s="13" t="s">
        <v>60</v>
      </c>
      <c r="D131" s="13" t="s">
        <v>20</v>
      </c>
      <c r="E131" s="14" t="n">
        <v>1</v>
      </c>
      <c r="F131" s="14" t="n">
        <v>2023</v>
      </c>
      <c r="G131" s="14" t="n">
        <v>140</v>
      </c>
      <c r="H131" s="14" t="n">
        <v>140</v>
      </c>
    </row>
    <row r="132" customFormat="false" ht="15.75" hidden="false" customHeight="true" outlineLevel="0" collapsed="false">
      <c r="A132" s="5" t="s">
        <v>132</v>
      </c>
      <c r="B132" s="5" t="s">
        <v>59</v>
      </c>
      <c r="C132" s="5" t="s">
        <v>60</v>
      </c>
      <c r="D132" s="5" t="s">
        <v>20</v>
      </c>
      <c r="E132" s="6" t="n">
        <v>1</v>
      </c>
      <c r="F132" s="6" t="n">
        <v>2024</v>
      </c>
      <c r="G132" s="6" t="n">
        <v>158</v>
      </c>
      <c r="H132" s="6" t="n">
        <v>158</v>
      </c>
    </row>
    <row r="133" customFormat="false" ht="15.75" hidden="false" customHeight="true" outlineLevel="0" collapsed="false">
      <c r="A133" s="13" t="s">
        <v>132</v>
      </c>
      <c r="B133" s="13" t="s">
        <v>59</v>
      </c>
      <c r="C133" s="13" t="s">
        <v>61</v>
      </c>
      <c r="D133" s="13" t="s">
        <v>31</v>
      </c>
      <c r="E133" s="14" t="n">
        <v>1</v>
      </c>
      <c r="F133" s="14" t="n">
        <v>2020</v>
      </c>
      <c r="G133" s="14" t="n">
        <v>120</v>
      </c>
      <c r="H133" s="14" t="n">
        <v>120</v>
      </c>
    </row>
    <row r="134" customFormat="false" ht="15.75" hidden="false" customHeight="true" outlineLevel="0" collapsed="false">
      <c r="A134" s="5" t="s">
        <v>132</v>
      </c>
      <c r="B134" s="5" t="s">
        <v>59</v>
      </c>
      <c r="C134" s="5" t="s">
        <v>61</v>
      </c>
      <c r="D134" s="5" t="s">
        <v>31</v>
      </c>
      <c r="E134" s="6" t="n">
        <v>1</v>
      </c>
      <c r="F134" s="6" t="n">
        <v>2021</v>
      </c>
      <c r="G134" s="6" t="n">
        <v>135</v>
      </c>
      <c r="H134" s="6" t="n">
        <v>135</v>
      </c>
    </row>
    <row r="135" customFormat="false" ht="15.75" hidden="false" customHeight="true" outlineLevel="0" collapsed="false">
      <c r="A135" s="13" t="s">
        <v>132</v>
      </c>
      <c r="B135" s="13" t="s">
        <v>59</v>
      </c>
      <c r="C135" s="13" t="s">
        <v>61</v>
      </c>
      <c r="D135" s="13" t="s">
        <v>31</v>
      </c>
      <c r="E135" s="14" t="n">
        <v>1</v>
      </c>
      <c r="F135" s="14" t="n">
        <v>2022</v>
      </c>
      <c r="G135" s="14" t="n">
        <v>155</v>
      </c>
      <c r="H135" s="14" t="n">
        <v>155</v>
      </c>
    </row>
    <row r="136" customFormat="false" ht="15.75" hidden="false" customHeight="true" outlineLevel="0" collapsed="false">
      <c r="A136" s="5" t="s">
        <v>132</v>
      </c>
      <c r="B136" s="5" t="s">
        <v>59</v>
      </c>
      <c r="C136" s="5" t="s">
        <v>61</v>
      </c>
      <c r="D136" s="5" t="s">
        <v>31</v>
      </c>
      <c r="E136" s="6" t="n">
        <v>1</v>
      </c>
      <c r="F136" s="6" t="n">
        <v>2023</v>
      </c>
      <c r="G136" s="6" t="n">
        <v>175</v>
      </c>
      <c r="H136" s="6" t="n">
        <v>175</v>
      </c>
    </row>
    <row r="137" customFormat="false" ht="15.75" hidden="false" customHeight="true" outlineLevel="0" collapsed="false">
      <c r="A137" s="13" t="s">
        <v>132</v>
      </c>
      <c r="B137" s="13" t="s">
        <v>59</v>
      </c>
      <c r="C137" s="13" t="s">
        <v>61</v>
      </c>
      <c r="D137" s="13" t="s">
        <v>31</v>
      </c>
      <c r="E137" s="14" t="n">
        <v>1</v>
      </c>
      <c r="F137" s="14" t="n">
        <v>2024</v>
      </c>
      <c r="G137" s="14" t="n">
        <v>195</v>
      </c>
      <c r="H137" s="14" t="n">
        <v>195</v>
      </c>
    </row>
    <row r="138" customFormat="false" ht="15.75" hidden="false" customHeight="true" outlineLevel="0" collapsed="false">
      <c r="A138" s="5" t="s">
        <v>132</v>
      </c>
      <c r="B138" s="5" t="s">
        <v>62</v>
      </c>
      <c r="C138" s="5" t="s">
        <v>63</v>
      </c>
      <c r="D138" s="5" t="s">
        <v>20</v>
      </c>
      <c r="E138" s="6" t="n">
        <v>0.8</v>
      </c>
      <c r="F138" s="6" t="n">
        <v>2020</v>
      </c>
      <c r="G138" s="6" t="n">
        <v>55</v>
      </c>
      <c r="H138" s="6" t="n">
        <v>44</v>
      </c>
    </row>
    <row r="139" customFormat="false" ht="15.75" hidden="false" customHeight="true" outlineLevel="0" collapsed="false">
      <c r="A139" s="13" t="s">
        <v>132</v>
      </c>
      <c r="B139" s="13" t="s">
        <v>62</v>
      </c>
      <c r="C139" s="13" t="s">
        <v>63</v>
      </c>
      <c r="D139" s="13" t="s">
        <v>20</v>
      </c>
      <c r="E139" s="14" t="n">
        <v>0.8</v>
      </c>
      <c r="F139" s="14" t="n">
        <v>2021</v>
      </c>
      <c r="G139" s="14" t="n">
        <v>65</v>
      </c>
      <c r="H139" s="14" t="n">
        <v>52</v>
      </c>
    </row>
    <row r="140" customFormat="false" ht="15.75" hidden="false" customHeight="true" outlineLevel="0" collapsed="false">
      <c r="A140" s="5" t="s">
        <v>132</v>
      </c>
      <c r="B140" s="5" t="s">
        <v>62</v>
      </c>
      <c r="C140" s="5" t="s">
        <v>63</v>
      </c>
      <c r="D140" s="5" t="s">
        <v>20</v>
      </c>
      <c r="E140" s="6" t="n">
        <v>0.8</v>
      </c>
      <c r="F140" s="6" t="n">
        <v>2022</v>
      </c>
      <c r="G140" s="6" t="n">
        <v>75</v>
      </c>
      <c r="H140" s="6" t="n">
        <v>60</v>
      </c>
    </row>
    <row r="141" customFormat="false" ht="15.75" hidden="false" customHeight="true" outlineLevel="0" collapsed="false">
      <c r="A141" s="13" t="s">
        <v>132</v>
      </c>
      <c r="B141" s="13" t="s">
        <v>62</v>
      </c>
      <c r="C141" s="13" t="s">
        <v>63</v>
      </c>
      <c r="D141" s="13" t="s">
        <v>20</v>
      </c>
      <c r="E141" s="14" t="n">
        <v>0.8</v>
      </c>
      <c r="F141" s="14" t="n">
        <v>2023</v>
      </c>
      <c r="G141" s="14" t="n">
        <v>85</v>
      </c>
      <c r="H141" s="14" t="n">
        <v>68</v>
      </c>
    </row>
    <row r="142" customFormat="false" ht="15.75" hidden="false" customHeight="true" outlineLevel="0" collapsed="false">
      <c r="A142" s="5" t="s">
        <v>132</v>
      </c>
      <c r="B142" s="5" t="s">
        <v>62</v>
      </c>
      <c r="C142" s="5" t="s">
        <v>63</v>
      </c>
      <c r="D142" s="5" t="s">
        <v>20</v>
      </c>
      <c r="E142" s="6" t="n">
        <v>0.8</v>
      </c>
      <c r="F142" s="6" t="n">
        <v>2024</v>
      </c>
      <c r="G142" s="6" t="n">
        <v>95</v>
      </c>
      <c r="H142" s="6" t="n">
        <v>76</v>
      </c>
    </row>
    <row r="143" customFormat="false" ht="15.75" hidden="false" customHeight="true" outlineLevel="0" collapsed="false">
      <c r="A143" s="13" t="s">
        <v>132</v>
      </c>
      <c r="B143" s="13" t="s">
        <v>62</v>
      </c>
      <c r="C143" s="13" t="s">
        <v>64</v>
      </c>
      <c r="D143" s="13" t="s">
        <v>22</v>
      </c>
      <c r="E143" s="14" t="n">
        <v>0.7</v>
      </c>
      <c r="F143" s="14" t="n">
        <v>2020</v>
      </c>
      <c r="G143" s="14" t="n">
        <v>40</v>
      </c>
      <c r="H143" s="14" t="n">
        <v>28</v>
      </c>
    </row>
    <row r="144" customFormat="false" ht="15.75" hidden="false" customHeight="true" outlineLevel="0" collapsed="false">
      <c r="A144" s="5" t="s">
        <v>132</v>
      </c>
      <c r="B144" s="5" t="s">
        <v>62</v>
      </c>
      <c r="C144" s="5" t="s">
        <v>64</v>
      </c>
      <c r="D144" s="5" t="s">
        <v>22</v>
      </c>
      <c r="E144" s="6" t="n">
        <v>0.7</v>
      </c>
      <c r="F144" s="6" t="n">
        <v>2021</v>
      </c>
      <c r="G144" s="6" t="n">
        <v>50</v>
      </c>
      <c r="H144" s="6" t="n">
        <v>35</v>
      </c>
    </row>
    <row r="145" customFormat="false" ht="15.75" hidden="false" customHeight="true" outlineLevel="0" collapsed="false">
      <c r="A145" s="13" t="s">
        <v>132</v>
      </c>
      <c r="B145" s="13" t="s">
        <v>62</v>
      </c>
      <c r="C145" s="13" t="s">
        <v>64</v>
      </c>
      <c r="D145" s="13" t="s">
        <v>22</v>
      </c>
      <c r="E145" s="14" t="n">
        <v>0.7</v>
      </c>
      <c r="F145" s="14" t="n">
        <v>2022</v>
      </c>
      <c r="G145" s="14" t="n">
        <v>58</v>
      </c>
      <c r="H145" s="14" t="n">
        <v>40.6</v>
      </c>
    </row>
    <row r="146" customFormat="false" ht="15.75" hidden="false" customHeight="true" outlineLevel="0" collapsed="false">
      <c r="A146" s="5" t="s">
        <v>132</v>
      </c>
      <c r="B146" s="5" t="s">
        <v>62</v>
      </c>
      <c r="C146" s="5" t="s">
        <v>64</v>
      </c>
      <c r="D146" s="5" t="s">
        <v>22</v>
      </c>
      <c r="E146" s="6" t="n">
        <v>0.7</v>
      </c>
      <c r="F146" s="6" t="n">
        <v>2023</v>
      </c>
      <c r="G146" s="6" t="n">
        <v>68</v>
      </c>
      <c r="H146" s="6" t="n">
        <v>47.6</v>
      </c>
    </row>
    <row r="147" customFormat="false" ht="15.75" hidden="false" customHeight="true" outlineLevel="0" collapsed="false">
      <c r="A147" s="13" t="s">
        <v>132</v>
      </c>
      <c r="B147" s="13" t="s">
        <v>62</v>
      </c>
      <c r="C147" s="13" t="s">
        <v>64</v>
      </c>
      <c r="D147" s="13" t="s">
        <v>22</v>
      </c>
      <c r="E147" s="14" t="n">
        <v>0.7</v>
      </c>
      <c r="F147" s="14" t="n">
        <v>2024</v>
      </c>
      <c r="G147" s="14" t="n">
        <v>78</v>
      </c>
      <c r="H147" s="14" t="n">
        <v>54.6</v>
      </c>
    </row>
    <row r="148" customFormat="false" ht="15.75" hidden="false" customHeight="true" outlineLevel="0" collapsed="false">
      <c r="A148" s="5" t="s">
        <v>132</v>
      </c>
      <c r="B148" s="5" t="s">
        <v>65</v>
      </c>
      <c r="C148" s="5" t="s">
        <v>66</v>
      </c>
      <c r="D148" s="5" t="s">
        <v>24</v>
      </c>
      <c r="E148" s="6" t="n">
        <v>0.9</v>
      </c>
      <c r="F148" s="6" t="n">
        <v>2020</v>
      </c>
      <c r="G148" s="6" t="n">
        <v>75</v>
      </c>
      <c r="H148" s="6" t="n">
        <v>67.5</v>
      </c>
    </row>
    <row r="149" customFormat="false" ht="15.75" hidden="false" customHeight="true" outlineLevel="0" collapsed="false">
      <c r="A149" s="13" t="s">
        <v>132</v>
      </c>
      <c r="B149" s="13" t="s">
        <v>65</v>
      </c>
      <c r="C149" s="13" t="s">
        <v>66</v>
      </c>
      <c r="D149" s="13" t="s">
        <v>24</v>
      </c>
      <c r="E149" s="14" t="n">
        <v>0.9</v>
      </c>
      <c r="F149" s="14" t="n">
        <v>2021</v>
      </c>
      <c r="G149" s="14" t="n">
        <v>85</v>
      </c>
      <c r="H149" s="14" t="n">
        <v>76.5</v>
      </c>
    </row>
    <row r="150" customFormat="false" ht="15.75" hidden="false" customHeight="true" outlineLevel="0" collapsed="false">
      <c r="A150" s="5" t="s">
        <v>132</v>
      </c>
      <c r="B150" s="5" t="s">
        <v>65</v>
      </c>
      <c r="C150" s="5" t="s">
        <v>66</v>
      </c>
      <c r="D150" s="5" t="s">
        <v>24</v>
      </c>
      <c r="E150" s="6" t="n">
        <v>0.9</v>
      </c>
      <c r="F150" s="6" t="n">
        <v>2022</v>
      </c>
      <c r="G150" s="6" t="n">
        <v>98</v>
      </c>
      <c r="H150" s="6" t="n">
        <v>88.2</v>
      </c>
    </row>
    <row r="151" customFormat="false" ht="15.75" hidden="false" customHeight="true" outlineLevel="0" collapsed="false">
      <c r="A151" s="13" t="s">
        <v>132</v>
      </c>
      <c r="B151" s="13" t="s">
        <v>65</v>
      </c>
      <c r="C151" s="13" t="s">
        <v>66</v>
      </c>
      <c r="D151" s="13" t="s">
        <v>24</v>
      </c>
      <c r="E151" s="14" t="n">
        <v>0.9</v>
      </c>
      <c r="F151" s="14" t="n">
        <v>2023</v>
      </c>
      <c r="G151" s="14" t="n">
        <v>112</v>
      </c>
      <c r="H151" s="14" t="n">
        <v>100.8</v>
      </c>
    </row>
    <row r="152" customFormat="false" ht="15.75" hidden="false" customHeight="true" outlineLevel="0" collapsed="false">
      <c r="A152" s="5" t="s">
        <v>132</v>
      </c>
      <c r="B152" s="5" t="s">
        <v>65</v>
      </c>
      <c r="C152" s="5" t="s">
        <v>66</v>
      </c>
      <c r="D152" s="5" t="s">
        <v>24</v>
      </c>
      <c r="E152" s="6" t="n">
        <v>0.9</v>
      </c>
      <c r="F152" s="6" t="n">
        <v>2024</v>
      </c>
      <c r="G152" s="6" t="n">
        <v>125</v>
      </c>
      <c r="H152" s="6" t="n">
        <v>112.5</v>
      </c>
    </row>
    <row r="153" customFormat="false" ht="15.75" hidden="false" customHeight="true" outlineLevel="0" collapsed="false">
      <c r="A153" s="13" t="s">
        <v>132</v>
      </c>
      <c r="B153" s="13" t="s">
        <v>65</v>
      </c>
      <c r="C153" s="13" t="s">
        <v>67</v>
      </c>
      <c r="D153" s="13" t="s">
        <v>22</v>
      </c>
      <c r="E153" s="14" t="n">
        <v>0.85</v>
      </c>
      <c r="F153" s="14" t="n">
        <v>2020</v>
      </c>
      <c r="G153" s="14" t="n">
        <v>48</v>
      </c>
      <c r="H153" s="14" t="n">
        <v>40.8</v>
      </c>
    </row>
    <row r="154" customFormat="false" ht="15.75" hidden="false" customHeight="true" outlineLevel="0" collapsed="false">
      <c r="A154" s="5" t="s">
        <v>132</v>
      </c>
      <c r="B154" s="5" t="s">
        <v>65</v>
      </c>
      <c r="C154" s="5" t="s">
        <v>67</v>
      </c>
      <c r="D154" s="5" t="s">
        <v>22</v>
      </c>
      <c r="E154" s="6" t="n">
        <v>0.85</v>
      </c>
      <c r="F154" s="6" t="n">
        <v>2021</v>
      </c>
      <c r="G154" s="6" t="n">
        <v>56</v>
      </c>
      <c r="H154" s="6" t="n">
        <v>47.6</v>
      </c>
    </row>
    <row r="155" customFormat="false" ht="15.75" hidden="false" customHeight="true" outlineLevel="0" collapsed="false">
      <c r="A155" s="13" t="s">
        <v>132</v>
      </c>
      <c r="B155" s="13" t="s">
        <v>65</v>
      </c>
      <c r="C155" s="13" t="s">
        <v>67</v>
      </c>
      <c r="D155" s="13" t="s">
        <v>22</v>
      </c>
      <c r="E155" s="14" t="n">
        <v>0.85</v>
      </c>
      <c r="F155" s="14" t="n">
        <v>2022</v>
      </c>
      <c r="G155" s="14" t="n">
        <v>65</v>
      </c>
      <c r="H155" s="14" t="n">
        <v>55.2</v>
      </c>
    </row>
    <row r="156" customFormat="false" ht="15.75" hidden="false" customHeight="true" outlineLevel="0" collapsed="false">
      <c r="A156" s="5" t="s">
        <v>132</v>
      </c>
      <c r="B156" s="5" t="s">
        <v>65</v>
      </c>
      <c r="C156" s="5" t="s">
        <v>67</v>
      </c>
      <c r="D156" s="5" t="s">
        <v>22</v>
      </c>
      <c r="E156" s="6" t="n">
        <v>0.85</v>
      </c>
      <c r="F156" s="6" t="n">
        <v>2023</v>
      </c>
      <c r="G156" s="6" t="n">
        <v>75</v>
      </c>
      <c r="H156" s="6" t="n">
        <v>63.8</v>
      </c>
    </row>
    <row r="157" customFormat="false" ht="15.75" hidden="false" customHeight="true" outlineLevel="0" collapsed="false">
      <c r="A157" s="13" t="s">
        <v>132</v>
      </c>
      <c r="B157" s="13" t="s">
        <v>65</v>
      </c>
      <c r="C157" s="13" t="s">
        <v>67</v>
      </c>
      <c r="D157" s="13" t="s">
        <v>22</v>
      </c>
      <c r="E157" s="14" t="n">
        <v>0.85</v>
      </c>
      <c r="F157" s="14" t="n">
        <v>2024</v>
      </c>
      <c r="G157" s="14" t="n">
        <v>85</v>
      </c>
      <c r="H157" s="14" t="n">
        <v>72.2</v>
      </c>
    </row>
    <row r="158" customFormat="false" ht="15.75" hidden="false" customHeight="true" outlineLevel="0" collapsed="false">
      <c r="A158" s="5" t="s">
        <v>132</v>
      </c>
      <c r="B158" s="5" t="s">
        <v>68</v>
      </c>
      <c r="C158" s="5" t="s">
        <v>69</v>
      </c>
      <c r="D158" s="5" t="s">
        <v>31</v>
      </c>
      <c r="E158" s="6" t="n">
        <v>1</v>
      </c>
      <c r="F158" s="6" t="n">
        <v>2020</v>
      </c>
      <c r="G158" s="6" t="n">
        <v>85</v>
      </c>
      <c r="H158" s="6" t="n">
        <v>85</v>
      </c>
    </row>
    <row r="159" customFormat="false" ht="15.75" hidden="false" customHeight="true" outlineLevel="0" collapsed="false">
      <c r="A159" s="13" t="s">
        <v>132</v>
      </c>
      <c r="B159" s="13" t="s">
        <v>68</v>
      </c>
      <c r="C159" s="13" t="s">
        <v>69</v>
      </c>
      <c r="D159" s="13" t="s">
        <v>31</v>
      </c>
      <c r="E159" s="14" t="n">
        <v>1</v>
      </c>
      <c r="F159" s="14" t="n">
        <v>2021</v>
      </c>
      <c r="G159" s="14" t="n">
        <v>95</v>
      </c>
      <c r="H159" s="14" t="n">
        <v>95</v>
      </c>
    </row>
    <row r="160" customFormat="false" ht="15.75" hidden="false" customHeight="true" outlineLevel="0" collapsed="false">
      <c r="A160" s="5" t="s">
        <v>132</v>
      </c>
      <c r="B160" s="5" t="s">
        <v>68</v>
      </c>
      <c r="C160" s="5" t="s">
        <v>69</v>
      </c>
      <c r="D160" s="5" t="s">
        <v>31</v>
      </c>
      <c r="E160" s="6" t="n">
        <v>1</v>
      </c>
      <c r="F160" s="6" t="n">
        <v>2022</v>
      </c>
      <c r="G160" s="6" t="n">
        <v>110</v>
      </c>
      <c r="H160" s="6" t="n">
        <v>110</v>
      </c>
    </row>
    <row r="161" customFormat="false" ht="15.75" hidden="false" customHeight="true" outlineLevel="0" collapsed="false">
      <c r="A161" s="13" t="s">
        <v>132</v>
      </c>
      <c r="B161" s="13" t="s">
        <v>68</v>
      </c>
      <c r="C161" s="13" t="s">
        <v>69</v>
      </c>
      <c r="D161" s="13" t="s">
        <v>31</v>
      </c>
      <c r="E161" s="14" t="n">
        <v>1</v>
      </c>
      <c r="F161" s="14" t="n">
        <v>2023</v>
      </c>
      <c r="G161" s="14" t="n">
        <v>125</v>
      </c>
      <c r="H161" s="14" t="n">
        <v>125</v>
      </c>
    </row>
    <row r="162" customFormat="false" ht="15.75" hidden="false" customHeight="true" outlineLevel="0" collapsed="false">
      <c r="A162" s="5" t="s">
        <v>132</v>
      </c>
      <c r="B162" s="5" t="s">
        <v>68</v>
      </c>
      <c r="C162" s="5" t="s">
        <v>69</v>
      </c>
      <c r="D162" s="5" t="s">
        <v>31</v>
      </c>
      <c r="E162" s="6" t="n">
        <v>1</v>
      </c>
      <c r="F162" s="6" t="n">
        <v>2024</v>
      </c>
      <c r="G162" s="6" t="n">
        <v>140</v>
      </c>
      <c r="H162" s="6" t="n">
        <v>140</v>
      </c>
    </row>
    <row r="163" customFormat="false" ht="15.75" hidden="false" customHeight="true" outlineLevel="0" collapsed="false">
      <c r="A163" s="13" t="s">
        <v>132</v>
      </c>
      <c r="B163" s="13" t="s">
        <v>68</v>
      </c>
      <c r="C163" s="13" t="s">
        <v>70</v>
      </c>
      <c r="D163" s="13" t="s">
        <v>35</v>
      </c>
      <c r="E163" s="14" t="n">
        <v>0.7</v>
      </c>
      <c r="F163" s="14" t="n">
        <v>2020</v>
      </c>
      <c r="G163" s="14" t="n">
        <v>60</v>
      </c>
      <c r="H163" s="14" t="n">
        <v>42</v>
      </c>
    </row>
    <row r="164" customFormat="false" ht="15.75" hidden="false" customHeight="true" outlineLevel="0" collapsed="false">
      <c r="A164" s="5" t="s">
        <v>132</v>
      </c>
      <c r="B164" s="5" t="s">
        <v>68</v>
      </c>
      <c r="C164" s="5" t="s">
        <v>70</v>
      </c>
      <c r="D164" s="5" t="s">
        <v>35</v>
      </c>
      <c r="E164" s="6" t="n">
        <v>0.7</v>
      </c>
      <c r="F164" s="6" t="n">
        <v>2021</v>
      </c>
      <c r="G164" s="6" t="n">
        <v>70</v>
      </c>
      <c r="H164" s="6" t="n">
        <v>49</v>
      </c>
    </row>
    <row r="165" customFormat="false" ht="15.75" hidden="false" customHeight="true" outlineLevel="0" collapsed="false">
      <c r="A165" s="13" t="s">
        <v>132</v>
      </c>
      <c r="B165" s="13" t="s">
        <v>68</v>
      </c>
      <c r="C165" s="13" t="s">
        <v>70</v>
      </c>
      <c r="D165" s="13" t="s">
        <v>35</v>
      </c>
      <c r="E165" s="14" t="n">
        <v>0.7</v>
      </c>
      <c r="F165" s="14" t="n">
        <v>2022</v>
      </c>
      <c r="G165" s="14" t="n">
        <v>82</v>
      </c>
      <c r="H165" s="14" t="n">
        <v>57.4</v>
      </c>
    </row>
    <row r="166" customFormat="false" ht="15.75" hidden="false" customHeight="true" outlineLevel="0" collapsed="false">
      <c r="A166" s="5" t="s">
        <v>132</v>
      </c>
      <c r="B166" s="5" t="s">
        <v>68</v>
      </c>
      <c r="C166" s="5" t="s">
        <v>70</v>
      </c>
      <c r="D166" s="5" t="s">
        <v>35</v>
      </c>
      <c r="E166" s="6" t="n">
        <v>0.7</v>
      </c>
      <c r="F166" s="6" t="n">
        <v>2023</v>
      </c>
      <c r="G166" s="6" t="n">
        <v>95</v>
      </c>
      <c r="H166" s="6" t="n">
        <v>66.5</v>
      </c>
    </row>
    <row r="167" customFormat="false" ht="15.75" hidden="false" customHeight="true" outlineLevel="0" collapsed="false">
      <c r="A167" s="13" t="s">
        <v>132</v>
      </c>
      <c r="B167" s="13" t="s">
        <v>68</v>
      </c>
      <c r="C167" s="13" t="s">
        <v>70</v>
      </c>
      <c r="D167" s="13" t="s">
        <v>35</v>
      </c>
      <c r="E167" s="14" t="n">
        <v>0.7</v>
      </c>
      <c r="F167" s="14" t="n">
        <v>2024</v>
      </c>
      <c r="G167" s="14" t="n">
        <v>108</v>
      </c>
      <c r="H167" s="14" t="n">
        <v>75.6</v>
      </c>
    </row>
    <row r="168" customFormat="false" ht="15.75" hidden="false" customHeight="true" outlineLevel="0" collapsed="false">
      <c r="A168" s="5" t="s">
        <v>132</v>
      </c>
      <c r="B168" s="5" t="s">
        <v>71</v>
      </c>
      <c r="C168" s="5" t="s">
        <v>72</v>
      </c>
      <c r="D168" s="5" t="s">
        <v>29</v>
      </c>
      <c r="E168" s="6" t="n">
        <v>0.8</v>
      </c>
      <c r="F168" s="6" t="n">
        <v>2020</v>
      </c>
      <c r="G168" s="6" t="n">
        <v>70</v>
      </c>
      <c r="H168" s="6" t="n">
        <v>56</v>
      </c>
    </row>
    <row r="169" customFormat="false" ht="15.75" hidden="false" customHeight="true" outlineLevel="0" collapsed="false">
      <c r="A169" s="13" t="s">
        <v>132</v>
      </c>
      <c r="B169" s="13" t="s">
        <v>71</v>
      </c>
      <c r="C169" s="13" t="s">
        <v>72</v>
      </c>
      <c r="D169" s="13" t="s">
        <v>29</v>
      </c>
      <c r="E169" s="14" t="n">
        <v>0.8</v>
      </c>
      <c r="F169" s="14" t="n">
        <v>2021</v>
      </c>
      <c r="G169" s="14" t="n">
        <v>80</v>
      </c>
      <c r="H169" s="14" t="n">
        <v>64</v>
      </c>
    </row>
    <row r="170" customFormat="false" ht="15.75" hidden="false" customHeight="true" outlineLevel="0" collapsed="false">
      <c r="A170" s="5" t="s">
        <v>132</v>
      </c>
      <c r="B170" s="5" t="s">
        <v>71</v>
      </c>
      <c r="C170" s="5" t="s">
        <v>72</v>
      </c>
      <c r="D170" s="5" t="s">
        <v>29</v>
      </c>
      <c r="E170" s="6" t="n">
        <v>0.8</v>
      </c>
      <c r="F170" s="6" t="n">
        <v>2022</v>
      </c>
      <c r="G170" s="6" t="n">
        <v>92</v>
      </c>
      <c r="H170" s="6" t="n">
        <v>73.6</v>
      </c>
    </row>
    <row r="171" customFormat="false" ht="15.75" hidden="false" customHeight="true" outlineLevel="0" collapsed="false">
      <c r="A171" s="13" t="s">
        <v>132</v>
      </c>
      <c r="B171" s="13" t="s">
        <v>71</v>
      </c>
      <c r="C171" s="13" t="s">
        <v>72</v>
      </c>
      <c r="D171" s="13" t="s">
        <v>29</v>
      </c>
      <c r="E171" s="14" t="n">
        <v>0.8</v>
      </c>
      <c r="F171" s="14" t="n">
        <v>2023</v>
      </c>
      <c r="G171" s="14" t="n">
        <v>105</v>
      </c>
      <c r="H171" s="14" t="n">
        <v>84</v>
      </c>
    </row>
    <row r="172" customFormat="false" ht="15.75" hidden="false" customHeight="true" outlineLevel="0" collapsed="false">
      <c r="A172" s="5" t="s">
        <v>132</v>
      </c>
      <c r="B172" s="5" t="s">
        <v>71</v>
      </c>
      <c r="C172" s="5" t="s">
        <v>72</v>
      </c>
      <c r="D172" s="5" t="s">
        <v>29</v>
      </c>
      <c r="E172" s="6" t="n">
        <v>0.8</v>
      </c>
      <c r="F172" s="6" t="n">
        <v>2024</v>
      </c>
      <c r="G172" s="6" t="n">
        <v>118</v>
      </c>
      <c r="H172" s="6" t="n">
        <v>94.4</v>
      </c>
    </row>
    <row r="173" customFormat="false" ht="15.75" hidden="false" customHeight="true" outlineLevel="0" collapsed="false">
      <c r="A173" s="13" t="s">
        <v>132</v>
      </c>
      <c r="B173" s="13" t="s">
        <v>71</v>
      </c>
      <c r="C173" s="13" t="s">
        <v>73</v>
      </c>
      <c r="D173" s="13" t="s">
        <v>35</v>
      </c>
      <c r="E173" s="14" t="n">
        <v>0.75</v>
      </c>
      <c r="F173" s="14" t="n">
        <v>2020</v>
      </c>
      <c r="G173" s="14" t="n">
        <v>45</v>
      </c>
      <c r="H173" s="14" t="n">
        <v>33.8</v>
      </c>
    </row>
    <row r="174" customFormat="false" ht="15.75" hidden="false" customHeight="true" outlineLevel="0" collapsed="false">
      <c r="A174" s="5" t="s">
        <v>132</v>
      </c>
      <c r="B174" s="5" t="s">
        <v>71</v>
      </c>
      <c r="C174" s="5" t="s">
        <v>73</v>
      </c>
      <c r="D174" s="5" t="s">
        <v>35</v>
      </c>
      <c r="E174" s="6" t="n">
        <v>0.75</v>
      </c>
      <c r="F174" s="6" t="n">
        <v>2021</v>
      </c>
      <c r="G174" s="6" t="n">
        <v>55</v>
      </c>
      <c r="H174" s="6" t="n">
        <v>41.2</v>
      </c>
    </row>
    <row r="175" customFormat="false" ht="15.75" hidden="false" customHeight="true" outlineLevel="0" collapsed="false">
      <c r="A175" s="13" t="s">
        <v>132</v>
      </c>
      <c r="B175" s="13" t="s">
        <v>71</v>
      </c>
      <c r="C175" s="13" t="s">
        <v>73</v>
      </c>
      <c r="D175" s="13" t="s">
        <v>35</v>
      </c>
      <c r="E175" s="14" t="n">
        <v>0.75</v>
      </c>
      <c r="F175" s="14" t="n">
        <v>2022</v>
      </c>
      <c r="G175" s="14" t="n">
        <v>65</v>
      </c>
      <c r="H175" s="14" t="n">
        <v>48.8</v>
      </c>
    </row>
    <row r="176" customFormat="false" ht="15.75" hidden="false" customHeight="true" outlineLevel="0" collapsed="false">
      <c r="A176" s="5" t="s">
        <v>132</v>
      </c>
      <c r="B176" s="5" t="s">
        <v>71</v>
      </c>
      <c r="C176" s="5" t="s">
        <v>73</v>
      </c>
      <c r="D176" s="5" t="s">
        <v>35</v>
      </c>
      <c r="E176" s="6" t="n">
        <v>0.75</v>
      </c>
      <c r="F176" s="6" t="n">
        <v>2023</v>
      </c>
      <c r="G176" s="6" t="n">
        <v>75</v>
      </c>
      <c r="H176" s="6" t="n">
        <v>56.2</v>
      </c>
    </row>
    <row r="177" customFormat="false" ht="15.75" hidden="false" customHeight="true" outlineLevel="0" collapsed="false">
      <c r="A177" s="13" t="s">
        <v>132</v>
      </c>
      <c r="B177" s="13" t="s">
        <v>71</v>
      </c>
      <c r="C177" s="13" t="s">
        <v>73</v>
      </c>
      <c r="D177" s="13" t="s">
        <v>35</v>
      </c>
      <c r="E177" s="14" t="n">
        <v>0.75</v>
      </c>
      <c r="F177" s="14" t="n">
        <v>2024</v>
      </c>
      <c r="G177" s="14" t="n">
        <v>85</v>
      </c>
      <c r="H177" s="14" t="n">
        <v>63.8</v>
      </c>
    </row>
    <row r="178" customFormat="false" ht="15.75" hidden="false" customHeight="true" outlineLevel="0" collapsed="false">
      <c r="A178" s="5" t="s">
        <v>132</v>
      </c>
      <c r="B178" s="5" t="s">
        <v>74</v>
      </c>
      <c r="C178" s="5" t="s">
        <v>75</v>
      </c>
      <c r="D178" s="5" t="s">
        <v>16</v>
      </c>
      <c r="E178" s="6" t="n">
        <v>1</v>
      </c>
      <c r="F178" s="6" t="n">
        <v>2020</v>
      </c>
      <c r="G178" s="6" t="n">
        <v>65</v>
      </c>
      <c r="H178" s="6" t="n">
        <v>65</v>
      </c>
    </row>
    <row r="179" customFormat="false" ht="15.75" hidden="false" customHeight="true" outlineLevel="0" collapsed="false">
      <c r="A179" s="13" t="s">
        <v>132</v>
      </c>
      <c r="B179" s="13" t="s">
        <v>74</v>
      </c>
      <c r="C179" s="13" t="s">
        <v>75</v>
      </c>
      <c r="D179" s="13" t="s">
        <v>16</v>
      </c>
      <c r="E179" s="14" t="n">
        <v>1</v>
      </c>
      <c r="F179" s="14" t="n">
        <v>2021</v>
      </c>
      <c r="G179" s="14" t="n">
        <v>78</v>
      </c>
      <c r="H179" s="14" t="n">
        <v>78</v>
      </c>
    </row>
    <row r="180" customFormat="false" ht="15.75" hidden="false" customHeight="true" outlineLevel="0" collapsed="false">
      <c r="A180" s="5" t="s">
        <v>132</v>
      </c>
      <c r="B180" s="5" t="s">
        <v>74</v>
      </c>
      <c r="C180" s="5" t="s">
        <v>75</v>
      </c>
      <c r="D180" s="5" t="s">
        <v>16</v>
      </c>
      <c r="E180" s="6" t="n">
        <v>1</v>
      </c>
      <c r="F180" s="6" t="n">
        <v>2022</v>
      </c>
      <c r="G180" s="6" t="n">
        <v>90</v>
      </c>
      <c r="H180" s="6" t="n">
        <v>90</v>
      </c>
    </row>
    <row r="181" customFormat="false" ht="15.75" hidden="false" customHeight="true" outlineLevel="0" collapsed="false">
      <c r="A181" s="13" t="s">
        <v>132</v>
      </c>
      <c r="B181" s="13" t="s">
        <v>74</v>
      </c>
      <c r="C181" s="13" t="s">
        <v>75</v>
      </c>
      <c r="D181" s="13" t="s">
        <v>16</v>
      </c>
      <c r="E181" s="14" t="n">
        <v>1</v>
      </c>
      <c r="F181" s="14" t="n">
        <v>2023</v>
      </c>
      <c r="G181" s="14" t="n">
        <v>103</v>
      </c>
      <c r="H181" s="14" t="n">
        <v>103</v>
      </c>
    </row>
    <row r="182" customFormat="false" ht="15.75" hidden="false" customHeight="true" outlineLevel="0" collapsed="false">
      <c r="A182" s="5" t="s">
        <v>132</v>
      </c>
      <c r="B182" s="5" t="s">
        <v>74</v>
      </c>
      <c r="C182" s="5" t="s">
        <v>75</v>
      </c>
      <c r="D182" s="5" t="s">
        <v>16</v>
      </c>
      <c r="E182" s="6" t="n">
        <v>1</v>
      </c>
      <c r="F182" s="6" t="n">
        <v>2024</v>
      </c>
      <c r="G182" s="6" t="n">
        <v>118</v>
      </c>
      <c r="H182" s="6" t="n">
        <v>118</v>
      </c>
    </row>
    <row r="183" customFormat="false" ht="15.75" hidden="false" customHeight="true" outlineLevel="0" collapsed="false">
      <c r="A183" s="19" t="s">
        <v>133</v>
      </c>
      <c r="B183" s="19" t="s">
        <v>79</v>
      </c>
      <c r="C183" s="19" t="s">
        <v>80</v>
      </c>
      <c r="D183" s="19" t="s">
        <v>35</v>
      </c>
      <c r="E183" s="20" t="n">
        <v>0.75</v>
      </c>
      <c r="F183" s="20" t="n">
        <v>2020</v>
      </c>
      <c r="G183" s="20" t="n">
        <v>210</v>
      </c>
      <c r="H183" s="20" t="n">
        <v>157.5</v>
      </c>
    </row>
    <row r="184" customFormat="false" ht="15.75" hidden="false" customHeight="true" outlineLevel="0" collapsed="false">
      <c r="A184" s="5" t="s">
        <v>133</v>
      </c>
      <c r="B184" s="5" t="s">
        <v>79</v>
      </c>
      <c r="C184" s="5" t="s">
        <v>80</v>
      </c>
      <c r="D184" s="5" t="s">
        <v>35</v>
      </c>
      <c r="E184" s="6" t="n">
        <v>0.75</v>
      </c>
      <c r="F184" s="6" t="n">
        <v>2021</v>
      </c>
      <c r="G184" s="6" t="n">
        <v>235</v>
      </c>
      <c r="H184" s="6" t="n">
        <v>176.2</v>
      </c>
    </row>
    <row r="185" customFormat="false" ht="15.75" hidden="false" customHeight="true" outlineLevel="0" collapsed="false">
      <c r="A185" s="19" t="s">
        <v>133</v>
      </c>
      <c r="B185" s="19" t="s">
        <v>79</v>
      </c>
      <c r="C185" s="19" t="s">
        <v>80</v>
      </c>
      <c r="D185" s="19" t="s">
        <v>35</v>
      </c>
      <c r="E185" s="20" t="n">
        <v>0.75</v>
      </c>
      <c r="F185" s="20" t="n">
        <v>2022</v>
      </c>
      <c r="G185" s="20" t="n">
        <v>260</v>
      </c>
      <c r="H185" s="20" t="n">
        <v>195</v>
      </c>
    </row>
    <row r="186" customFormat="false" ht="15.75" hidden="false" customHeight="true" outlineLevel="0" collapsed="false">
      <c r="A186" s="5" t="s">
        <v>133</v>
      </c>
      <c r="B186" s="5" t="s">
        <v>79</v>
      </c>
      <c r="C186" s="5" t="s">
        <v>80</v>
      </c>
      <c r="D186" s="5" t="s">
        <v>35</v>
      </c>
      <c r="E186" s="6" t="n">
        <v>0.75</v>
      </c>
      <c r="F186" s="6" t="n">
        <v>2023</v>
      </c>
      <c r="G186" s="6" t="n">
        <v>285</v>
      </c>
      <c r="H186" s="6" t="n">
        <v>213.8</v>
      </c>
    </row>
    <row r="187" customFormat="false" ht="15.75" hidden="false" customHeight="true" outlineLevel="0" collapsed="false">
      <c r="A187" s="19" t="s">
        <v>133</v>
      </c>
      <c r="B187" s="19" t="s">
        <v>79</v>
      </c>
      <c r="C187" s="19" t="s">
        <v>80</v>
      </c>
      <c r="D187" s="19" t="s">
        <v>35</v>
      </c>
      <c r="E187" s="20" t="n">
        <v>0.75</v>
      </c>
      <c r="F187" s="20" t="n">
        <v>2024</v>
      </c>
      <c r="G187" s="20" t="n">
        <v>315</v>
      </c>
      <c r="H187" s="20" t="n">
        <v>236.2</v>
      </c>
    </row>
    <row r="188" customFormat="false" ht="15.75" hidden="false" customHeight="true" outlineLevel="0" collapsed="false">
      <c r="A188" s="5" t="s">
        <v>133</v>
      </c>
      <c r="B188" s="5" t="s">
        <v>79</v>
      </c>
      <c r="C188" s="5" t="s">
        <v>81</v>
      </c>
      <c r="D188" s="5" t="s">
        <v>31</v>
      </c>
      <c r="E188" s="6" t="n">
        <v>0.8</v>
      </c>
      <c r="F188" s="6" t="n">
        <v>2020</v>
      </c>
      <c r="G188" s="6" t="n">
        <v>120</v>
      </c>
      <c r="H188" s="6" t="n">
        <v>96</v>
      </c>
    </row>
    <row r="189" customFormat="false" ht="15.75" hidden="false" customHeight="true" outlineLevel="0" collapsed="false">
      <c r="A189" s="19" t="s">
        <v>133</v>
      </c>
      <c r="B189" s="19" t="s">
        <v>79</v>
      </c>
      <c r="C189" s="19" t="s">
        <v>81</v>
      </c>
      <c r="D189" s="19" t="s">
        <v>31</v>
      </c>
      <c r="E189" s="20" t="n">
        <v>0.8</v>
      </c>
      <c r="F189" s="20" t="n">
        <v>2021</v>
      </c>
      <c r="G189" s="20" t="n">
        <v>135</v>
      </c>
      <c r="H189" s="20" t="n">
        <v>108</v>
      </c>
    </row>
    <row r="190" customFormat="false" ht="15.75" hidden="false" customHeight="true" outlineLevel="0" collapsed="false">
      <c r="A190" s="5" t="s">
        <v>133</v>
      </c>
      <c r="B190" s="5" t="s">
        <v>79</v>
      </c>
      <c r="C190" s="5" t="s">
        <v>81</v>
      </c>
      <c r="D190" s="5" t="s">
        <v>31</v>
      </c>
      <c r="E190" s="6" t="n">
        <v>0.8</v>
      </c>
      <c r="F190" s="6" t="n">
        <v>2022</v>
      </c>
      <c r="G190" s="6" t="n">
        <v>150</v>
      </c>
      <c r="H190" s="6" t="n">
        <v>120</v>
      </c>
    </row>
    <row r="191" customFormat="false" ht="15.75" hidden="false" customHeight="true" outlineLevel="0" collapsed="false">
      <c r="A191" s="19" t="s">
        <v>133</v>
      </c>
      <c r="B191" s="19" t="s">
        <v>79</v>
      </c>
      <c r="C191" s="19" t="s">
        <v>81</v>
      </c>
      <c r="D191" s="19" t="s">
        <v>31</v>
      </c>
      <c r="E191" s="20" t="n">
        <v>0.8</v>
      </c>
      <c r="F191" s="20" t="n">
        <v>2023</v>
      </c>
      <c r="G191" s="20" t="n">
        <v>168</v>
      </c>
      <c r="H191" s="20" t="n">
        <v>134.4</v>
      </c>
    </row>
    <row r="192" customFormat="false" ht="15.75" hidden="false" customHeight="true" outlineLevel="0" collapsed="false">
      <c r="A192" s="5" t="s">
        <v>133</v>
      </c>
      <c r="B192" s="5" t="s">
        <v>79</v>
      </c>
      <c r="C192" s="5" t="s">
        <v>81</v>
      </c>
      <c r="D192" s="5" t="s">
        <v>31</v>
      </c>
      <c r="E192" s="6" t="n">
        <v>0.8</v>
      </c>
      <c r="F192" s="6" t="n">
        <v>2024</v>
      </c>
      <c r="G192" s="6" t="n">
        <v>185</v>
      </c>
      <c r="H192" s="6" t="n">
        <v>148</v>
      </c>
    </row>
    <row r="193" customFormat="false" ht="15.75" hidden="false" customHeight="true" outlineLevel="0" collapsed="false">
      <c r="A193" s="19" t="s">
        <v>133</v>
      </c>
      <c r="B193" s="19" t="s">
        <v>82</v>
      </c>
      <c r="C193" s="19" t="s">
        <v>83</v>
      </c>
      <c r="D193" s="19" t="s">
        <v>29</v>
      </c>
      <c r="E193" s="20" t="n">
        <v>0.7</v>
      </c>
      <c r="F193" s="20" t="n">
        <v>2020</v>
      </c>
      <c r="G193" s="20" t="n">
        <v>180</v>
      </c>
      <c r="H193" s="20" t="n">
        <v>126</v>
      </c>
    </row>
    <row r="194" customFormat="false" ht="15.75" hidden="false" customHeight="true" outlineLevel="0" collapsed="false">
      <c r="A194" s="5" t="s">
        <v>133</v>
      </c>
      <c r="B194" s="5" t="s">
        <v>82</v>
      </c>
      <c r="C194" s="5" t="s">
        <v>83</v>
      </c>
      <c r="D194" s="5" t="s">
        <v>29</v>
      </c>
      <c r="E194" s="6" t="n">
        <v>0.7</v>
      </c>
      <c r="F194" s="6" t="n">
        <v>2021</v>
      </c>
      <c r="G194" s="6" t="n">
        <v>200</v>
      </c>
      <c r="H194" s="6" t="n">
        <v>140</v>
      </c>
    </row>
    <row r="195" customFormat="false" ht="15.75" hidden="false" customHeight="true" outlineLevel="0" collapsed="false">
      <c r="A195" s="19" t="s">
        <v>133</v>
      </c>
      <c r="B195" s="19" t="s">
        <v>82</v>
      </c>
      <c r="C195" s="19" t="s">
        <v>83</v>
      </c>
      <c r="D195" s="19" t="s">
        <v>29</v>
      </c>
      <c r="E195" s="20" t="n">
        <v>0.7</v>
      </c>
      <c r="F195" s="20" t="n">
        <v>2022</v>
      </c>
      <c r="G195" s="20" t="n">
        <v>220</v>
      </c>
      <c r="H195" s="20" t="n">
        <v>154</v>
      </c>
    </row>
    <row r="196" customFormat="false" ht="15.75" hidden="false" customHeight="true" outlineLevel="0" collapsed="false">
      <c r="A196" s="5" t="s">
        <v>133</v>
      </c>
      <c r="B196" s="5" t="s">
        <v>82</v>
      </c>
      <c r="C196" s="5" t="s">
        <v>83</v>
      </c>
      <c r="D196" s="5" t="s">
        <v>29</v>
      </c>
      <c r="E196" s="6" t="n">
        <v>0.7</v>
      </c>
      <c r="F196" s="6" t="n">
        <v>2023</v>
      </c>
      <c r="G196" s="6" t="n">
        <v>245</v>
      </c>
      <c r="H196" s="6" t="n">
        <v>171.5</v>
      </c>
    </row>
    <row r="197" customFormat="false" ht="15.75" hidden="false" customHeight="true" outlineLevel="0" collapsed="false">
      <c r="A197" s="19" t="s">
        <v>133</v>
      </c>
      <c r="B197" s="19" t="s">
        <v>82</v>
      </c>
      <c r="C197" s="19" t="s">
        <v>83</v>
      </c>
      <c r="D197" s="19" t="s">
        <v>29</v>
      </c>
      <c r="E197" s="20" t="n">
        <v>0.7</v>
      </c>
      <c r="F197" s="20" t="n">
        <v>2024</v>
      </c>
      <c r="G197" s="20" t="n">
        <v>270</v>
      </c>
      <c r="H197" s="20" t="n">
        <v>189</v>
      </c>
    </row>
    <row r="198" customFormat="false" ht="15.75" hidden="false" customHeight="true" outlineLevel="0" collapsed="false">
      <c r="A198" s="5" t="s">
        <v>133</v>
      </c>
      <c r="B198" s="5" t="s">
        <v>84</v>
      </c>
      <c r="C198" s="5" t="s">
        <v>85</v>
      </c>
      <c r="D198" s="5" t="s">
        <v>16</v>
      </c>
      <c r="E198" s="6" t="n">
        <v>0.5</v>
      </c>
      <c r="F198" s="6" t="n">
        <v>2020</v>
      </c>
      <c r="G198" s="6" t="n">
        <v>45</v>
      </c>
      <c r="H198" s="6" t="n">
        <v>22.5</v>
      </c>
    </row>
    <row r="199" customFormat="false" ht="15.75" hidden="false" customHeight="true" outlineLevel="0" collapsed="false">
      <c r="A199" s="19" t="s">
        <v>133</v>
      </c>
      <c r="B199" s="19" t="s">
        <v>84</v>
      </c>
      <c r="C199" s="19" t="s">
        <v>85</v>
      </c>
      <c r="D199" s="19" t="s">
        <v>16</v>
      </c>
      <c r="E199" s="20" t="n">
        <v>0.5</v>
      </c>
      <c r="F199" s="20" t="n">
        <v>2021</v>
      </c>
      <c r="G199" s="20" t="n">
        <v>55</v>
      </c>
      <c r="H199" s="20" t="n">
        <v>27.5</v>
      </c>
    </row>
    <row r="200" customFormat="false" ht="15.75" hidden="false" customHeight="true" outlineLevel="0" collapsed="false">
      <c r="A200" s="5" t="s">
        <v>133</v>
      </c>
      <c r="B200" s="5" t="s">
        <v>84</v>
      </c>
      <c r="C200" s="5" t="s">
        <v>85</v>
      </c>
      <c r="D200" s="5" t="s">
        <v>16</v>
      </c>
      <c r="E200" s="6" t="n">
        <v>0.5</v>
      </c>
      <c r="F200" s="6" t="n">
        <v>2022</v>
      </c>
      <c r="G200" s="6" t="n">
        <v>65</v>
      </c>
      <c r="H200" s="6" t="n">
        <v>32.5</v>
      </c>
    </row>
    <row r="201" customFormat="false" ht="15.75" hidden="false" customHeight="true" outlineLevel="0" collapsed="false">
      <c r="A201" s="19" t="s">
        <v>133</v>
      </c>
      <c r="B201" s="19" t="s">
        <v>84</v>
      </c>
      <c r="C201" s="19" t="s">
        <v>85</v>
      </c>
      <c r="D201" s="19" t="s">
        <v>16</v>
      </c>
      <c r="E201" s="20" t="n">
        <v>0.5</v>
      </c>
      <c r="F201" s="20" t="n">
        <v>2023</v>
      </c>
      <c r="G201" s="20" t="n">
        <v>75</v>
      </c>
      <c r="H201" s="20" t="n">
        <v>37.5</v>
      </c>
    </row>
    <row r="202" customFormat="false" ht="15.75" hidden="false" customHeight="true" outlineLevel="0" collapsed="false">
      <c r="A202" s="5" t="s">
        <v>133</v>
      </c>
      <c r="B202" s="5" t="s">
        <v>84</v>
      </c>
      <c r="C202" s="5" t="s">
        <v>85</v>
      </c>
      <c r="D202" s="5" t="s">
        <v>16</v>
      </c>
      <c r="E202" s="6" t="n">
        <v>0.5</v>
      </c>
      <c r="F202" s="6" t="n">
        <v>2024</v>
      </c>
      <c r="G202" s="6" t="n">
        <v>85</v>
      </c>
      <c r="H202" s="6" t="n">
        <v>42.5</v>
      </c>
    </row>
    <row r="203" customFormat="false" ht="15.75" hidden="false" customHeight="true" outlineLevel="0" collapsed="false">
      <c r="A203" s="19" t="s">
        <v>133</v>
      </c>
      <c r="B203" s="19" t="s">
        <v>86</v>
      </c>
      <c r="C203" s="19" t="s">
        <v>87</v>
      </c>
      <c r="D203" s="19" t="s">
        <v>29</v>
      </c>
      <c r="E203" s="20" t="n">
        <v>0.35</v>
      </c>
      <c r="F203" s="20" t="n">
        <v>2020</v>
      </c>
      <c r="G203" s="20" t="n">
        <v>95</v>
      </c>
      <c r="H203" s="20" t="n">
        <v>33.2</v>
      </c>
    </row>
    <row r="204" customFormat="false" ht="15.75" hidden="false" customHeight="true" outlineLevel="0" collapsed="false">
      <c r="A204" s="5" t="s">
        <v>133</v>
      </c>
      <c r="B204" s="5" t="s">
        <v>86</v>
      </c>
      <c r="C204" s="5" t="s">
        <v>87</v>
      </c>
      <c r="D204" s="5" t="s">
        <v>29</v>
      </c>
      <c r="E204" s="6" t="n">
        <v>0.35</v>
      </c>
      <c r="F204" s="6" t="n">
        <v>2021</v>
      </c>
      <c r="G204" s="6" t="n">
        <v>110</v>
      </c>
      <c r="H204" s="6" t="n">
        <v>38.5</v>
      </c>
    </row>
    <row r="205" customFormat="false" ht="15.75" hidden="false" customHeight="true" outlineLevel="0" collapsed="false">
      <c r="A205" s="19" t="s">
        <v>133</v>
      </c>
      <c r="B205" s="19" t="s">
        <v>86</v>
      </c>
      <c r="C205" s="19" t="s">
        <v>87</v>
      </c>
      <c r="D205" s="19" t="s">
        <v>29</v>
      </c>
      <c r="E205" s="20" t="n">
        <v>0.35</v>
      </c>
      <c r="F205" s="20" t="n">
        <v>2022</v>
      </c>
      <c r="G205" s="20" t="n">
        <v>125</v>
      </c>
      <c r="H205" s="20" t="n">
        <v>43.8</v>
      </c>
    </row>
    <row r="206" customFormat="false" ht="15.75" hidden="false" customHeight="true" outlineLevel="0" collapsed="false">
      <c r="A206" s="5" t="s">
        <v>133</v>
      </c>
      <c r="B206" s="5" t="s">
        <v>86</v>
      </c>
      <c r="C206" s="5" t="s">
        <v>87</v>
      </c>
      <c r="D206" s="5" t="s">
        <v>29</v>
      </c>
      <c r="E206" s="6" t="n">
        <v>0.35</v>
      </c>
      <c r="F206" s="6" t="n">
        <v>2023</v>
      </c>
      <c r="G206" s="6" t="n">
        <v>140</v>
      </c>
      <c r="H206" s="6" t="n">
        <v>49</v>
      </c>
    </row>
    <row r="207" customFormat="false" ht="15.75" hidden="false" customHeight="true" outlineLevel="0" collapsed="false">
      <c r="A207" s="19" t="s">
        <v>133</v>
      </c>
      <c r="B207" s="19" t="s">
        <v>86</v>
      </c>
      <c r="C207" s="19" t="s">
        <v>87</v>
      </c>
      <c r="D207" s="19" t="s">
        <v>29</v>
      </c>
      <c r="E207" s="20" t="n">
        <v>0.35</v>
      </c>
      <c r="F207" s="20" t="n">
        <v>2024</v>
      </c>
      <c r="G207" s="20" t="n">
        <v>155</v>
      </c>
      <c r="H207" s="20" t="n">
        <v>54.2</v>
      </c>
    </row>
    <row r="208" customFormat="false" ht="15.75" hidden="false" customHeight="true" outlineLevel="0" collapsed="false">
      <c r="A208" s="5" t="s">
        <v>133</v>
      </c>
      <c r="B208" s="5" t="s">
        <v>88</v>
      </c>
      <c r="C208" s="5" t="s">
        <v>89</v>
      </c>
      <c r="D208" s="5" t="s">
        <v>35</v>
      </c>
      <c r="E208" s="6" t="n">
        <v>0.5</v>
      </c>
      <c r="F208" s="6" t="n">
        <v>2020</v>
      </c>
      <c r="G208" s="6" t="n">
        <v>130</v>
      </c>
      <c r="H208" s="6" t="n">
        <v>65</v>
      </c>
    </row>
    <row r="209" customFormat="false" ht="15.75" hidden="false" customHeight="true" outlineLevel="0" collapsed="false">
      <c r="A209" s="19" t="s">
        <v>133</v>
      </c>
      <c r="B209" s="19" t="s">
        <v>88</v>
      </c>
      <c r="C209" s="19" t="s">
        <v>89</v>
      </c>
      <c r="D209" s="19" t="s">
        <v>35</v>
      </c>
      <c r="E209" s="20" t="n">
        <v>0.5</v>
      </c>
      <c r="F209" s="20" t="n">
        <v>2021</v>
      </c>
      <c r="G209" s="20" t="n">
        <v>145</v>
      </c>
      <c r="H209" s="20" t="n">
        <v>72.5</v>
      </c>
    </row>
    <row r="210" customFormat="false" ht="15.75" hidden="false" customHeight="true" outlineLevel="0" collapsed="false">
      <c r="A210" s="5" t="s">
        <v>133</v>
      </c>
      <c r="B210" s="5" t="s">
        <v>88</v>
      </c>
      <c r="C210" s="5" t="s">
        <v>89</v>
      </c>
      <c r="D210" s="5" t="s">
        <v>35</v>
      </c>
      <c r="E210" s="6" t="n">
        <v>0.5</v>
      </c>
      <c r="F210" s="6" t="n">
        <v>2022</v>
      </c>
      <c r="G210" s="6" t="n">
        <v>162</v>
      </c>
      <c r="H210" s="6" t="n">
        <v>81</v>
      </c>
    </row>
    <row r="211" customFormat="false" ht="15.75" hidden="false" customHeight="true" outlineLevel="0" collapsed="false">
      <c r="A211" s="19" t="s">
        <v>133</v>
      </c>
      <c r="B211" s="19" t="s">
        <v>88</v>
      </c>
      <c r="C211" s="19" t="s">
        <v>89</v>
      </c>
      <c r="D211" s="19" t="s">
        <v>35</v>
      </c>
      <c r="E211" s="20" t="n">
        <v>0.5</v>
      </c>
      <c r="F211" s="20" t="n">
        <v>2023</v>
      </c>
      <c r="G211" s="20" t="n">
        <v>180</v>
      </c>
      <c r="H211" s="20" t="n">
        <v>90</v>
      </c>
    </row>
    <row r="212" customFormat="false" ht="15.75" hidden="false" customHeight="true" outlineLevel="0" collapsed="false">
      <c r="A212" s="5" t="s">
        <v>133</v>
      </c>
      <c r="B212" s="5" t="s">
        <v>88</v>
      </c>
      <c r="C212" s="5" t="s">
        <v>89</v>
      </c>
      <c r="D212" s="5" t="s">
        <v>35</v>
      </c>
      <c r="E212" s="6" t="n">
        <v>0.5</v>
      </c>
      <c r="F212" s="6" t="n">
        <v>2024</v>
      </c>
      <c r="G212" s="6" t="n">
        <v>198</v>
      </c>
      <c r="H212" s="6" t="n">
        <v>99</v>
      </c>
    </row>
    <row r="213" customFormat="false" ht="15.75" hidden="false" customHeight="true" outlineLevel="0" collapsed="false">
      <c r="A213" s="19" t="s">
        <v>133</v>
      </c>
      <c r="B213" s="19" t="s">
        <v>90</v>
      </c>
      <c r="C213" s="19" t="s">
        <v>91</v>
      </c>
      <c r="D213" s="19" t="s">
        <v>35</v>
      </c>
      <c r="E213" s="20" t="n">
        <v>0.6</v>
      </c>
      <c r="F213" s="20" t="n">
        <v>2020</v>
      </c>
      <c r="G213" s="20" t="n">
        <v>75</v>
      </c>
      <c r="H213" s="20" t="n">
        <v>45</v>
      </c>
    </row>
    <row r="214" customFormat="false" ht="15.75" hidden="false" customHeight="true" outlineLevel="0" collapsed="false">
      <c r="A214" s="5" t="s">
        <v>133</v>
      </c>
      <c r="B214" s="5" t="s">
        <v>90</v>
      </c>
      <c r="C214" s="5" t="s">
        <v>91</v>
      </c>
      <c r="D214" s="5" t="s">
        <v>35</v>
      </c>
      <c r="E214" s="6" t="n">
        <v>0.6</v>
      </c>
      <c r="F214" s="6" t="n">
        <v>2021</v>
      </c>
      <c r="G214" s="6" t="n">
        <v>88</v>
      </c>
      <c r="H214" s="6" t="n">
        <v>52.8</v>
      </c>
    </row>
    <row r="215" customFormat="false" ht="15.75" hidden="false" customHeight="true" outlineLevel="0" collapsed="false">
      <c r="A215" s="19" t="s">
        <v>133</v>
      </c>
      <c r="B215" s="19" t="s">
        <v>90</v>
      </c>
      <c r="C215" s="19" t="s">
        <v>91</v>
      </c>
      <c r="D215" s="19" t="s">
        <v>35</v>
      </c>
      <c r="E215" s="20" t="n">
        <v>0.6</v>
      </c>
      <c r="F215" s="20" t="n">
        <v>2022</v>
      </c>
      <c r="G215" s="20" t="n">
        <v>100</v>
      </c>
      <c r="H215" s="20" t="n">
        <v>60</v>
      </c>
    </row>
    <row r="216" customFormat="false" ht="15.75" hidden="false" customHeight="true" outlineLevel="0" collapsed="false">
      <c r="A216" s="5" t="s">
        <v>133</v>
      </c>
      <c r="B216" s="5" t="s">
        <v>90</v>
      </c>
      <c r="C216" s="5" t="s">
        <v>91</v>
      </c>
      <c r="D216" s="5" t="s">
        <v>35</v>
      </c>
      <c r="E216" s="6" t="n">
        <v>0.6</v>
      </c>
      <c r="F216" s="6" t="n">
        <v>2023</v>
      </c>
      <c r="G216" s="6" t="n">
        <v>115</v>
      </c>
      <c r="H216" s="6" t="n">
        <v>69</v>
      </c>
    </row>
    <row r="217" customFormat="false" ht="15.75" hidden="false" customHeight="true" outlineLevel="0" collapsed="false">
      <c r="A217" s="19" t="s">
        <v>133</v>
      </c>
      <c r="B217" s="19" t="s">
        <v>90</v>
      </c>
      <c r="C217" s="19" t="s">
        <v>91</v>
      </c>
      <c r="D217" s="19" t="s">
        <v>35</v>
      </c>
      <c r="E217" s="20" t="n">
        <v>0.6</v>
      </c>
      <c r="F217" s="20" t="n">
        <v>2024</v>
      </c>
      <c r="G217" s="20" t="n">
        <v>128</v>
      </c>
      <c r="H217" s="20" t="n">
        <v>76.8</v>
      </c>
    </row>
    <row r="218" customFormat="false" ht="15.75" hidden="false" customHeight="true" outlineLevel="0" collapsed="false">
      <c r="A218" s="5" t="s">
        <v>133</v>
      </c>
      <c r="B218" s="5" t="s">
        <v>92</v>
      </c>
      <c r="C218" s="5" t="s">
        <v>93</v>
      </c>
      <c r="D218" s="5" t="s">
        <v>18</v>
      </c>
      <c r="E218" s="6" t="n">
        <v>0.8</v>
      </c>
      <c r="F218" s="6" t="n">
        <v>2020</v>
      </c>
      <c r="G218" s="6" t="n">
        <v>55</v>
      </c>
      <c r="H218" s="6" t="n">
        <v>44</v>
      </c>
    </row>
    <row r="219" customFormat="false" ht="15.75" hidden="false" customHeight="true" outlineLevel="0" collapsed="false">
      <c r="A219" s="19" t="s">
        <v>133</v>
      </c>
      <c r="B219" s="19" t="s">
        <v>92</v>
      </c>
      <c r="C219" s="19" t="s">
        <v>93</v>
      </c>
      <c r="D219" s="19" t="s">
        <v>18</v>
      </c>
      <c r="E219" s="20" t="n">
        <v>0.8</v>
      </c>
      <c r="F219" s="20" t="n">
        <v>2021</v>
      </c>
      <c r="G219" s="20" t="n">
        <v>65</v>
      </c>
      <c r="H219" s="20" t="n">
        <v>52</v>
      </c>
    </row>
    <row r="220" customFormat="false" ht="15.75" hidden="false" customHeight="true" outlineLevel="0" collapsed="false">
      <c r="A220" s="5" t="s">
        <v>133</v>
      </c>
      <c r="B220" s="5" t="s">
        <v>92</v>
      </c>
      <c r="C220" s="5" t="s">
        <v>93</v>
      </c>
      <c r="D220" s="5" t="s">
        <v>18</v>
      </c>
      <c r="E220" s="6" t="n">
        <v>0.8</v>
      </c>
      <c r="F220" s="6" t="n">
        <v>2022</v>
      </c>
      <c r="G220" s="6" t="n">
        <v>75</v>
      </c>
      <c r="H220" s="6" t="n">
        <v>60</v>
      </c>
    </row>
    <row r="221" customFormat="false" ht="15.75" hidden="false" customHeight="true" outlineLevel="0" collapsed="false">
      <c r="A221" s="19" t="s">
        <v>133</v>
      </c>
      <c r="B221" s="19" t="s">
        <v>92</v>
      </c>
      <c r="C221" s="19" t="s">
        <v>93</v>
      </c>
      <c r="D221" s="19" t="s">
        <v>18</v>
      </c>
      <c r="E221" s="20" t="n">
        <v>0.8</v>
      </c>
      <c r="F221" s="20" t="n">
        <v>2023</v>
      </c>
      <c r="G221" s="20" t="n">
        <v>85</v>
      </c>
      <c r="H221" s="20" t="n">
        <v>68</v>
      </c>
    </row>
    <row r="222" customFormat="false" ht="15.75" hidden="false" customHeight="true" outlineLevel="0" collapsed="false">
      <c r="A222" s="5" t="s">
        <v>133</v>
      </c>
      <c r="B222" s="5" t="s">
        <v>92</v>
      </c>
      <c r="C222" s="5" t="s">
        <v>93</v>
      </c>
      <c r="D222" s="5" t="s">
        <v>18</v>
      </c>
      <c r="E222" s="6" t="n">
        <v>0.8</v>
      </c>
      <c r="F222" s="6" t="n">
        <v>2024</v>
      </c>
      <c r="G222" s="6" t="n">
        <v>95</v>
      </c>
      <c r="H222" s="6" t="n">
        <v>76</v>
      </c>
    </row>
    <row r="223" customFormat="false" ht="15.75" hidden="false" customHeight="true" outlineLevel="0" collapsed="false">
      <c r="A223" s="19" t="s">
        <v>133</v>
      </c>
      <c r="B223" s="19" t="s">
        <v>94</v>
      </c>
      <c r="C223" s="19" t="s">
        <v>95</v>
      </c>
      <c r="D223" s="19" t="s">
        <v>16</v>
      </c>
      <c r="E223" s="20" t="n">
        <v>0.9</v>
      </c>
      <c r="F223" s="20" t="n">
        <v>2020</v>
      </c>
      <c r="G223" s="20" t="n">
        <v>160</v>
      </c>
      <c r="H223" s="20" t="n">
        <v>144</v>
      </c>
    </row>
    <row r="224" customFormat="false" ht="15.75" hidden="false" customHeight="true" outlineLevel="0" collapsed="false">
      <c r="A224" s="5" t="s">
        <v>133</v>
      </c>
      <c r="B224" s="5" t="s">
        <v>94</v>
      </c>
      <c r="C224" s="5" t="s">
        <v>95</v>
      </c>
      <c r="D224" s="5" t="s">
        <v>16</v>
      </c>
      <c r="E224" s="6" t="n">
        <v>0.9</v>
      </c>
      <c r="F224" s="6" t="n">
        <v>2021</v>
      </c>
      <c r="G224" s="6" t="n">
        <v>175</v>
      </c>
      <c r="H224" s="6" t="n">
        <v>157.5</v>
      </c>
    </row>
    <row r="225" customFormat="false" ht="15.75" hidden="false" customHeight="true" outlineLevel="0" collapsed="false">
      <c r="A225" s="19" t="s">
        <v>133</v>
      </c>
      <c r="B225" s="19" t="s">
        <v>94</v>
      </c>
      <c r="C225" s="19" t="s">
        <v>95</v>
      </c>
      <c r="D225" s="19" t="s">
        <v>16</v>
      </c>
      <c r="E225" s="20" t="n">
        <v>0.9</v>
      </c>
      <c r="F225" s="20" t="n">
        <v>2022</v>
      </c>
      <c r="G225" s="20" t="n">
        <v>190</v>
      </c>
      <c r="H225" s="20" t="n">
        <v>171</v>
      </c>
    </row>
    <row r="226" customFormat="false" ht="15.75" hidden="false" customHeight="true" outlineLevel="0" collapsed="false">
      <c r="A226" s="5" t="s">
        <v>133</v>
      </c>
      <c r="B226" s="5" t="s">
        <v>94</v>
      </c>
      <c r="C226" s="5" t="s">
        <v>95</v>
      </c>
      <c r="D226" s="5" t="s">
        <v>16</v>
      </c>
      <c r="E226" s="6" t="n">
        <v>0.9</v>
      </c>
      <c r="F226" s="6" t="n">
        <v>2023</v>
      </c>
      <c r="G226" s="6" t="n">
        <v>210</v>
      </c>
      <c r="H226" s="6" t="n">
        <v>189</v>
      </c>
    </row>
    <row r="227" customFormat="false" ht="15.75" hidden="false" customHeight="true" outlineLevel="0" collapsed="false">
      <c r="A227" s="19" t="s">
        <v>133</v>
      </c>
      <c r="B227" s="19" t="s">
        <v>94</v>
      </c>
      <c r="C227" s="19" t="s">
        <v>95</v>
      </c>
      <c r="D227" s="19" t="s">
        <v>16</v>
      </c>
      <c r="E227" s="20" t="n">
        <v>0.9</v>
      </c>
      <c r="F227" s="20" t="n">
        <v>2024</v>
      </c>
      <c r="G227" s="20" t="n">
        <v>230</v>
      </c>
      <c r="H227" s="20" t="n">
        <v>207</v>
      </c>
    </row>
    <row r="228" customFormat="false" ht="15.75" hidden="false" customHeight="true" outlineLevel="0" collapsed="false">
      <c r="A228" s="5" t="s">
        <v>133</v>
      </c>
      <c r="B228" s="5" t="s">
        <v>96</v>
      </c>
      <c r="C228" s="5" t="s">
        <v>97</v>
      </c>
      <c r="D228" s="5" t="s">
        <v>18</v>
      </c>
      <c r="E228" s="6" t="n">
        <v>0.6</v>
      </c>
      <c r="F228" s="6" t="n">
        <v>2020</v>
      </c>
      <c r="G228" s="6" t="n">
        <v>40</v>
      </c>
      <c r="H228" s="6" t="n">
        <v>24</v>
      </c>
    </row>
    <row r="229" customFormat="false" ht="15.75" hidden="false" customHeight="true" outlineLevel="0" collapsed="false">
      <c r="A229" s="19" t="s">
        <v>133</v>
      </c>
      <c r="B229" s="19" t="s">
        <v>96</v>
      </c>
      <c r="C229" s="19" t="s">
        <v>97</v>
      </c>
      <c r="D229" s="19" t="s">
        <v>18</v>
      </c>
      <c r="E229" s="20" t="n">
        <v>0.6</v>
      </c>
      <c r="F229" s="20" t="n">
        <v>2021</v>
      </c>
      <c r="G229" s="20" t="n">
        <v>48</v>
      </c>
      <c r="H229" s="20" t="n">
        <v>28.8</v>
      </c>
    </row>
    <row r="230" customFormat="false" ht="15.75" hidden="false" customHeight="true" outlineLevel="0" collapsed="false">
      <c r="A230" s="5" t="s">
        <v>133</v>
      </c>
      <c r="B230" s="5" t="s">
        <v>96</v>
      </c>
      <c r="C230" s="5" t="s">
        <v>97</v>
      </c>
      <c r="D230" s="5" t="s">
        <v>18</v>
      </c>
      <c r="E230" s="6" t="n">
        <v>0.6</v>
      </c>
      <c r="F230" s="6" t="n">
        <v>2022</v>
      </c>
      <c r="G230" s="6" t="n">
        <v>56</v>
      </c>
      <c r="H230" s="6" t="n">
        <v>33.6</v>
      </c>
    </row>
    <row r="231" customFormat="false" ht="15.75" hidden="false" customHeight="true" outlineLevel="0" collapsed="false">
      <c r="A231" s="19" t="s">
        <v>133</v>
      </c>
      <c r="B231" s="19" t="s">
        <v>96</v>
      </c>
      <c r="C231" s="19" t="s">
        <v>97</v>
      </c>
      <c r="D231" s="19" t="s">
        <v>18</v>
      </c>
      <c r="E231" s="20" t="n">
        <v>0.6</v>
      </c>
      <c r="F231" s="20" t="n">
        <v>2023</v>
      </c>
      <c r="G231" s="20" t="n">
        <v>65</v>
      </c>
      <c r="H231" s="20" t="n">
        <v>39</v>
      </c>
    </row>
    <row r="232" customFormat="false" ht="15.75" hidden="false" customHeight="true" outlineLevel="0" collapsed="false">
      <c r="A232" s="5" t="s">
        <v>133</v>
      </c>
      <c r="B232" s="5" t="s">
        <v>96</v>
      </c>
      <c r="C232" s="5" t="s">
        <v>97</v>
      </c>
      <c r="D232" s="5" t="s">
        <v>18</v>
      </c>
      <c r="E232" s="6" t="n">
        <v>0.6</v>
      </c>
      <c r="F232" s="6" t="n">
        <v>2024</v>
      </c>
      <c r="G232" s="6" t="n">
        <v>74</v>
      </c>
      <c r="H232" s="6" t="n">
        <v>44.4</v>
      </c>
    </row>
    <row r="233" customFormat="false" ht="15.75" hidden="false" customHeight="true" outlineLevel="0" collapsed="false">
      <c r="A233" s="23" t="s">
        <v>134</v>
      </c>
      <c r="B233" s="23" t="s">
        <v>102</v>
      </c>
      <c r="C233" s="23" t="s">
        <v>103</v>
      </c>
      <c r="D233" s="23" t="s">
        <v>31</v>
      </c>
      <c r="E233" s="24" t="n">
        <v>1</v>
      </c>
      <c r="F233" s="24" t="n">
        <v>2020</v>
      </c>
      <c r="G233" s="24" t="n">
        <v>580</v>
      </c>
      <c r="H233" s="24" t="n">
        <v>580</v>
      </c>
    </row>
    <row r="234" customFormat="false" ht="15.75" hidden="false" customHeight="true" outlineLevel="0" collapsed="false">
      <c r="A234" s="5" t="s">
        <v>134</v>
      </c>
      <c r="B234" s="5" t="s">
        <v>102</v>
      </c>
      <c r="C234" s="5" t="s">
        <v>103</v>
      </c>
      <c r="D234" s="5" t="s">
        <v>31</v>
      </c>
      <c r="E234" s="6" t="n">
        <v>1</v>
      </c>
      <c r="F234" s="6" t="n">
        <v>2021</v>
      </c>
      <c r="G234" s="6" t="n">
        <v>640</v>
      </c>
      <c r="H234" s="6" t="n">
        <v>640</v>
      </c>
    </row>
    <row r="235" customFormat="false" ht="15.75" hidden="false" customHeight="true" outlineLevel="0" collapsed="false">
      <c r="A235" s="23" t="s">
        <v>134</v>
      </c>
      <c r="B235" s="23" t="s">
        <v>102</v>
      </c>
      <c r="C235" s="23" t="s">
        <v>103</v>
      </c>
      <c r="D235" s="23" t="s">
        <v>31</v>
      </c>
      <c r="E235" s="24" t="n">
        <v>1</v>
      </c>
      <c r="F235" s="24" t="n">
        <v>2022</v>
      </c>
      <c r="G235" s="24" t="n">
        <v>700</v>
      </c>
      <c r="H235" s="24" t="n">
        <v>700</v>
      </c>
    </row>
    <row r="236" customFormat="false" ht="15.75" hidden="false" customHeight="true" outlineLevel="0" collapsed="false">
      <c r="A236" s="5" t="s">
        <v>134</v>
      </c>
      <c r="B236" s="5" t="s">
        <v>102</v>
      </c>
      <c r="C236" s="5" t="s">
        <v>103</v>
      </c>
      <c r="D236" s="5" t="s">
        <v>31</v>
      </c>
      <c r="E236" s="6" t="n">
        <v>1</v>
      </c>
      <c r="F236" s="6" t="n">
        <v>2023</v>
      </c>
      <c r="G236" s="6" t="n">
        <v>760</v>
      </c>
      <c r="H236" s="6" t="n">
        <v>760</v>
      </c>
    </row>
    <row r="237" customFormat="false" ht="15.75" hidden="false" customHeight="true" outlineLevel="0" collapsed="false">
      <c r="A237" s="23" t="s">
        <v>134</v>
      </c>
      <c r="B237" s="23" t="s">
        <v>102</v>
      </c>
      <c r="C237" s="23" t="s">
        <v>103</v>
      </c>
      <c r="D237" s="23" t="s">
        <v>31</v>
      </c>
      <c r="E237" s="24" t="n">
        <v>1</v>
      </c>
      <c r="F237" s="24" t="n">
        <v>2024</v>
      </c>
      <c r="G237" s="24" t="n">
        <v>820</v>
      </c>
      <c r="H237" s="24" t="n">
        <v>820</v>
      </c>
    </row>
    <row r="238" customFormat="false" ht="15.75" hidden="false" customHeight="true" outlineLevel="0" collapsed="false">
      <c r="A238" s="5" t="s">
        <v>134</v>
      </c>
      <c r="B238" s="5" t="s">
        <v>102</v>
      </c>
      <c r="C238" s="5" t="s">
        <v>104</v>
      </c>
      <c r="D238" s="5" t="s">
        <v>16</v>
      </c>
      <c r="E238" s="6" t="n">
        <v>1</v>
      </c>
      <c r="F238" s="6" t="n">
        <v>2020</v>
      </c>
      <c r="G238" s="6" t="n">
        <v>320</v>
      </c>
      <c r="H238" s="6" t="n">
        <v>320</v>
      </c>
    </row>
    <row r="239" customFormat="false" ht="15.75" hidden="false" customHeight="true" outlineLevel="0" collapsed="false">
      <c r="A239" s="23" t="s">
        <v>134</v>
      </c>
      <c r="B239" s="23" t="s">
        <v>102</v>
      </c>
      <c r="C239" s="23" t="s">
        <v>104</v>
      </c>
      <c r="D239" s="23" t="s">
        <v>16</v>
      </c>
      <c r="E239" s="24" t="n">
        <v>1</v>
      </c>
      <c r="F239" s="24" t="n">
        <v>2021</v>
      </c>
      <c r="G239" s="24" t="n">
        <v>360</v>
      </c>
      <c r="H239" s="24" t="n">
        <v>360</v>
      </c>
    </row>
    <row r="240" customFormat="false" ht="15.75" hidden="false" customHeight="true" outlineLevel="0" collapsed="false">
      <c r="A240" s="5" t="s">
        <v>134</v>
      </c>
      <c r="B240" s="5" t="s">
        <v>102</v>
      </c>
      <c r="C240" s="5" t="s">
        <v>104</v>
      </c>
      <c r="D240" s="5" t="s">
        <v>16</v>
      </c>
      <c r="E240" s="6" t="n">
        <v>1</v>
      </c>
      <c r="F240" s="6" t="n">
        <v>2022</v>
      </c>
      <c r="G240" s="6" t="n">
        <v>400</v>
      </c>
      <c r="H240" s="6" t="n">
        <v>400</v>
      </c>
    </row>
    <row r="241" customFormat="false" ht="15.75" hidden="false" customHeight="true" outlineLevel="0" collapsed="false">
      <c r="A241" s="23" t="s">
        <v>134</v>
      </c>
      <c r="B241" s="23" t="s">
        <v>102</v>
      </c>
      <c r="C241" s="23" t="s">
        <v>104</v>
      </c>
      <c r="D241" s="23" t="s">
        <v>16</v>
      </c>
      <c r="E241" s="24" t="n">
        <v>1</v>
      </c>
      <c r="F241" s="24" t="n">
        <v>2023</v>
      </c>
      <c r="G241" s="24" t="n">
        <v>440</v>
      </c>
      <c r="H241" s="24" t="n">
        <v>440</v>
      </c>
    </row>
    <row r="242" customFormat="false" ht="15.75" hidden="false" customHeight="true" outlineLevel="0" collapsed="false">
      <c r="A242" s="5" t="s">
        <v>134</v>
      </c>
      <c r="B242" s="5" t="s">
        <v>102</v>
      </c>
      <c r="C242" s="5" t="s">
        <v>104</v>
      </c>
      <c r="D242" s="5" t="s">
        <v>16</v>
      </c>
      <c r="E242" s="6" t="n">
        <v>1</v>
      </c>
      <c r="F242" s="6" t="n">
        <v>2024</v>
      </c>
      <c r="G242" s="6" t="n">
        <v>480</v>
      </c>
      <c r="H242" s="6" t="n">
        <v>480</v>
      </c>
    </row>
    <row r="243" customFormat="false" ht="15.75" hidden="false" customHeight="true" outlineLevel="0" collapsed="false">
      <c r="A243" s="23" t="s">
        <v>134</v>
      </c>
      <c r="B243" s="23" t="s">
        <v>105</v>
      </c>
      <c r="C243" s="23" t="s">
        <v>106</v>
      </c>
      <c r="D243" s="23" t="s">
        <v>16</v>
      </c>
      <c r="E243" s="24" t="n">
        <v>1</v>
      </c>
      <c r="F243" s="24" t="n">
        <v>2020</v>
      </c>
      <c r="G243" s="24" t="n">
        <v>450</v>
      </c>
      <c r="H243" s="24" t="n">
        <v>450</v>
      </c>
    </row>
    <row r="244" customFormat="false" ht="15.75" hidden="false" customHeight="true" outlineLevel="0" collapsed="false">
      <c r="A244" s="5" t="s">
        <v>134</v>
      </c>
      <c r="B244" s="5" t="s">
        <v>105</v>
      </c>
      <c r="C244" s="5" t="s">
        <v>106</v>
      </c>
      <c r="D244" s="5" t="s">
        <v>16</v>
      </c>
      <c r="E244" s="6" t="n">
        <v>1</v>
      </c>
      <c r="F244" s="6" t="n">
        <v>2021</v>
      </c>
      <c r="G244" s="6" t="n">
        <v>500</v>
      </c>
      <c r="H244" s="6" t="n">
        <v>500</v>
      </c>
    </row>
    <row r="245" customFormat="false" ht="15.75" hidden="false" customHeight="true" outlineLevel="0" collapsed="false">
      <c r="A245" s="23" t="s">
        <v>134</v>
      </c>
      <c r="B245" s="23" t="s">
        <v>105</v>
      </c>
      <c r="C245" s="23" t="s">
        <v>106</v>
      </c>
      <c r="D245" s="23" t="s">
        <v>16</v>
      </c>
      <c r="E245" s="24" t="n">
        <v>1</v>
      </c>
      <c r="F245" s="24" t="n">
        <v>2022</v>
      </c>
      <c r="G245" s="24" t="n">
        <v>550</v>
      </c>
      <c r="H245" s="24" t="n">
        <v>550</v>
      </c>
    </row>
    <row r="246" customFormat="false" ht="15.75" hidden="false" customHeight="true" outlineLevel="0" collapsed="false">
      <c r="A246" s="5" t="s">
        <v>134</v>
      </c>
      <c r="B246" s="5" t="s">
        <v>105</v>
      </c>
      <c r="C246" s="5" t="s">
        <v>106</v>
      </c>
      <c r="D246" s="5" t="s">
        <v>16</v>
      </c>
      <c r="E246" s="6" t="n">
        <v>1</v>
      </c>
      <c r="F246" s="6" t="n">
        <v>2023</v>
      </c>
      <c r="G246" s="6" t="n">
        <v>600</v>
      </c>
      <c r="H246" s="6" t="n">
        <v>600</v>
      </c>
    </row>
    <row r="247" customFormat="false" ht="15.75" hidden="false" customHeight="true" outlineLevel="0" collapsed="false">
      <c r="A247" s="23" t="s">
        <v>134</v>
      </c>
      <c r="B247" s="23" t="s">
        <v>105</v>
      </c>
      <c r="C247" s="23" t="s">
        <v>106</v>
      </c>
      <c r="D247" s="23" t="s">
        <v>16</v>
      </c>
      <c r="E247" s="24" t="n">
        <v>1</v>
      </c>
      <c r="F247" s="24" t="n">
        <v>2024</v>
      </c>
      <c r="G247" s="24" t="n">
        <v>650</v>
      </c>
      <c r="H247" s="24" t="n">
        <v>650</v>
      </c>
    </row>
    <row r="248" customFormat="false" ht="15.75" hidden="false" customHeight="true" outlineLevel="0" collapsed="false">
      <c r="A248" s="5" t="s">
        <v>134</v>
      </c>
      <c r="B248" s="5" t="s">
        <v>105</v>
      </c>
      <c r="C248" s="5" t="s">
        <v>107</v>
      </c>
      <c r="D248" s="5" t="s">
        <v>22</v>
      </c>
      <c r="E248" s="6" t="n">
        <v>1</v>
      </c>
      <c r="F248" s="6" t="n">
        <v>2020</v>
      </c>
      <c r="G248" s="6" t="n">
        <v>95</v>
      </c>
      <c r="H248" s="6" t="n">
        <v>95</v>
      </c>
    </row>
    <row r="249" customFormat="false" ht="15.75" hidden="false" customHeight="true" outlineLevel="0" collapsed="false">
      <c r="A249" s="23" t="s">
        <v>134</v>
      </c>
      <c r="B249" s="23" t="s">
        <v>105</v>
      </c>
      <c r="C249" s="23" t="s">
        <v>107</v>
      </c>
      <c r="D249" s="23" t="s">
        <v>22</v>
      </c>
      <c r="E249" s="24" t="n">
        <v>1</v>
      </c>
      <c r="F249" s="24" t="n">
        <v>2021</v>
      </c>
      <c r="G249" s="24" t="n">
        <v>110</v>
      </c>
      <c r="H249" s="24" t="n">
        <v>110</v>
      </c>
    </row>
    <row r="250" customFormat="false" ht="15.75" hidden="false" customHeight="true" outlineLevel="0" collapsed="false">
      <c r="A250" s="5" t="s">
        <v>134</v>
      </c>
      <c r="B250" s="5" t="s">
        <v>105</v>
      </c>
      <c r="C250" s="5" t="s">
        <v>107</v>
      </c>
      <c r="D250" s="5" t="s">
        <v>22</v>
      </c>
      <c r="E250" s="6" t="n">
        <v>1</v>
      </c>
      <c r="F250" s="6" t="n">
        <v>2022</v>
      </c>
      <c r="G250" s="6" t="n">
        <v>125</v>
      </c>
      <c r="H250" s="6" t="n">
        <v>125</v>
      </c>
    </row>
    <row r="251" customFormat="false" ht="15.75" hidden="false" customHeight="true" outlineLevel="0" collapsed="false">
      <c r="A251" s="23" t="s">
        <v>134</v>
      </c>
      <c r="B251" s="23" t="s">
        <v>105</v>
      </c>
      <c r="C251" s="23" t="s">
        <v>107</v>
      </c>
      <c r="D251" s="23" t="s">
        <v>22</v>
      </c>
      <c r="E251" s="24" t="n">
        <v>1</v>
      </c>
      <c r="F251" s="24" t="n">
        <v>2023</v>
      </c>
      <c r="G251" s="24" t="n">
        <v>140</v>
      </c>
      <c r="H251" s="24" t="n">
        <v>140</v>
      </c>
    </row>
    <row r="252" customFormat="false" ht="15.75" hidden="false" customHeight="true" outlineLevel="0" collapsed="false">
      <c r="A252" s="5" t="s">
        <v>134</v>
      </c>
      <c r="B252" s="5" t="s">
        <v>105</v>
      </c>
      <c r="C252" s="5" t="s">
        <v>107</v>
      </c>
      <c r="D252" s="5" t="s">
        <v>22</v>
      </c>
      <c r="E252" s="6" t="n">
        <v>1</v>
      </c>
      <c r="F252" s="6" t="n">
        <v>2024</v>
      </c>
      <c r="G252" s="6" t="n">
        <v>158</v>
      </c>
      <c r="H252" s="6" t="n">
        <v>158</v>
      </c>
    </row>
    <row r="253" customFormat="false" ht="15.75" hidden="false" customHeight="true" outlineLevel="0" collapsed="false">
      <c r="A253" s="23" t="s">
        <v>134</v>
      </c>
      <c r="B253" s="23" t="s">
        <v>108</v>
      </c>
      <c r="C253" s="23" t="s">
        <v>109</v>
      </c>
      <c r="D253" s="23" t="s">
        <v>29</v>
      </c>
      <c r="E253" s="24" t="n">
        <v>0.85</v>
      </c>
      <c r="F253" s="24" t="n">
        <v>2020</v>
      </c>
      <c r="G253" s="24" t="n">
        <v>280</v>
      </c>
      <c r="H253" s="24" t="n">
        <v>238</v>
      </c>
    </row>
    <row r="254" customFormat="false" ht="15.75" hidden="false" customHeight="true" outlineLevel="0" collapsed="false">
      <c r="A254" s="5" t="s">
        <v>134</v>
      </c>
      <c r="B254" s="5" t="s">
        <v>108</v>
      </c>
      <c r="C254" s="5" t="s">
        <v>109</v>
      </c>
      <c r="D254" s="5" t="s">
        <v>29</v>
      </c>
      <c r="E254" s="6" t="n">
        <v>0.85</v>
      </c>
      <c r="F254" s="6" t="n">
        <v>2021</v>
      </c>
      <c r="G254" s="6" t="n">
        <v>315</v>
      </c>
      <c r="H254" s="6" t="n">
        <v>267.8</v>
      </c>
    </row>
    <row r="255" customFormat="false" ht="15.75" hidden="false" customHeight="true" outlineLevel="0" collapsed="false">
      <c r="A255" s="23" t="s">
        <v>134</v>
      </c>
      <c r="B255" s="23" t="s">
        <v>108</v>
      </c>
      <c r="C255" s="23" t="s">
        <v>109</v>
      </c>
      <c r="D255" s="23" t="s">
        <v>29</v>
      </c>
      <c r="E255" s="24" t="n">
        <v>0.85</v>
      </c>
      <c r="F255" s="24" t="n">
        <v>2022</v>
      </c>
      <c r="G255" s="24" t="n">
        <v>350</v>
      </c>
      <c r="H255" s="24" t="n">
        <v>297.5</v>
      </c>
    </row>
    <row r="256" customFormat="false" ht="15.75" hidden="false" customHeight="true" outlineLevel="0" collapsed="false">
      <c r="A256" s="5" t="s">
        <v>134</v>
      </c>
      <c r="B256" s="5" t="s">
        <v>108</v>
      </c>
      <c r="C256" s="5" t="s">
        <v>109</v>
      </c>
      <c r="D256" s="5" t="s">
        <v>29</v>
      </c>
      <c r="E256" s="6" t="n">
        <v>0.85</v>
      </c>
      <c r="F256" s="6" t="n">
        <v>2023</v>
      </c>
      <c r="G256" s="6" t="n">
        <v>385</v>
      </c>
      <c r="H256" s="6" t="n">
        <v>327.2</v>
      </c>
    </row>
    <row r="257" customFormat="false" ht="15.75" hidden="false" customHeight="true" outlineLevel="0" collapsed="false">
      <c r="A257" s="23" t="s">
        <v>134</v>
      </c>
      <c r="B257" s="23" t="s">
        <v>108</v>
      </c>
      <c r="C257" s="23" t="s">
        <v>109</v>
      </c>
      <c r="D257" s="23" t="s">
        <v>29</v>
      </c>
      <c r="E257" s="24" t="n">
        <v>0.85</v>
      </c>
      <c r="F257" s="24" t="n">
        <v>2024</v>
      </c>
      <c r="G257" s="24" t="n">
        <v>420</v>
      </c>
      <c r="H257" s="24" t="n">
        <v>357</v>
      </c>
    </row>
    <row r="258" customFormat="false" ht="15.75" hidden="false" customHeight="true" outlineLevel="0" collapsed="false">
      <c r="A258" s="5" t="s">
        <v>134</v>
      </c>
      <c r="B258" s="5" t="s">
        <v>108</v>
      </c>
      <c r="C258" s="5" t="s">
        <v>110</v>
      </c>
      <c r="D258" s="5" t="s">
        <v>35</v>
      </c>
      <c r="E258" s="6" t="n">
        <v>0.8</v>
      </c>
      <c r="F258" s="6" t="n">
        <v>2020</v>
      </c>
      <c r="G258" s="6" t="n">
        <v>120</v>
      </c>
      <c r="H258" s="6" t="n">
        <v>96</v>
      </c>
    </row>
    <row r="259" customFormat="false" ht="15.75" hidden="false" customHeight="true" outlineLevel="0" collapsed="false">
      <c r="A259" s="23" t="s">
        <v>134</v>
      </c>
      <c r="B259" s="23" t="s">
        <v>108</v>
      </c>
      <c r="C259" s="23" t="s">
        <v>110</v>
      </c>
      <c r="D259" s="23" t="s">
        <v>35</v>
      </c>
      <c r="E259" s="24" t="n">
        <v>0.8</v>
      </c>
      <c r="F259" s="24" t="n">
        <v>2021</v>
      </c>
      <c r="G259" s="24" t="n">
        <v>138</v>
      </c>
      <c r="H259" s="24" t="n">
        <v>110.4</v>
      </c>
    </row>
    <row r="260" customFormat="false" ht="15.75" hidden="false" customHeight="true" outlineLevel="0" collapsed="false">
      <c r="A260" s="5" t="s">
        <v>134</v>
      </c>
      <c r="B260" s="5" t="s">
        <v>108</v>
      </c>
      <c r="C260" s="5" t="s">
        <v>110</v>
      </c>
      <c r="D260" s="5" t="s">
        <v>35</v>
      </c>
      <c r="E260" s="6" t="n">
        <v>0.8</v>
      </c>
      <c r="F260" s="6" t="n">
        <v>2022</v>
      </c>
      <c r="G260" s="6" t="n">
        <v>155</v>
      </c>
      <c r="H260" s="6" t="n">
        <v>124</v>
      </c>
    </row>
    <row r="261" customFormat="false" ht="15.75" hidden="false" customHeight="true" outlineLevel="0" collapsed="false">
      <c r="A261" s="23" t="s">
        <v>134</v>
      </c>
      <c r="B261" s="23" t="s">
        <v>108</v>
      </c>
      <c r="C261" s="23" t="s">
        <v>110</v>
      </c>
      <c r="D261" s="23" t="s">
        <v>35</v>
      </c>
      <c r="E261" s="24" t="n">
        <v>0.8</v>
      </c>
      <c r="F261" s="24" t="n">
        <v>2023</v>
      </c>
      <c r="G261" s="24" t="n">
        <v>172</v>
      </c>
      <c r="H261" s="24" t="n">
        <v>137.6</v>
      </c>
    </row>
    <row r="262" customFormat="false" ht="15.75" hidden="false" customHeight="true" outlineLevel="0" collapsed="false">
      <c r="A262" s="5" t="s">
        <v>134</v>
      </c>
      <c r="B262" s="5" t="s">
        <v>108</v>
      </c>
      <c r="C262" s="5" t="s">
        <v>110</v>
      </c>
      <c r="D262" s="5" t="s">
        <v>35</v>
      </c>
      <c r="E262" s="6" t="n">
        <v>0.8</v>
      </c>
      <c r="F262" s="6" t="n">
        <v>2024</v>
      </c>
      <c r="G262" s="6" t="n">
        <v>190</v>
      </c>
      <c r="H262" s="6" t="n">
        <v>152</v>
      </c>
    </row>
    <row r="263" customFormat="false" ht="15.75" hidden="false" customHeight="true" outlineLevel="0" collapsed="false">
      <c r="A263" s="23" t="s">
        <v>134</v>
      </c>
      <c r="B263" s="23" t="s">
        <v>111</v>
      </c>
      <c r="C263" s="23" t="s">
        <v>112</v>
      </c>
      <c r="D263" s="23" t="s">
        <v>29</v>
      </c>
      <c r="E263" s="24" t="n">
        <v>0.9</v>
      </c>
      <c r="F263" s="24" t="n">
        <v>2020</v>
      </c>
      <c r="G263" s="24" t="n">
        <v>220</v>
      </c>
      <c r="H263" s="24" t="n">
        <v>198</v>
      </c>
    </row>
    <row r="264" customFormat="false" ht="15.75" hidden="false" customHeight="true" outlineLevel="0" collapsed="false">
      <c r="A264" s="5" t="s">
        <v>134</v>
      </c>
      <c r="B264" s="5" t="s">
        <v>111</v>
      </c>
      <c r="C264" s="5" t="s">
        <v>112</v>
      </c>
      <c r="D264" s="5" t="s">
        <v>29</v>
      </c>
      <c r="E264" s="6" t="n">
        <v>0.9</v>
      </c>
      <c r="F264" s="6" t="n">
        <v>2021</v>
      </c>
      <c r="G264" s="6" t="n">
        <v>248</v>
      </c>
      <c r="H264" s="6" t="n">
        <v>223.2</v>
      </c>
    </row>
    <row r="265" customFormat="false" ht="15.75" hidden="false" customHeight="true" outlineLevel="0" collapsed="false">
      <c r="A265" s="23" t="s">
        <v>134</v>
      </c>
      <c r="B265" s="23" t="s">
        <v>111</v>
      </c>
      <c r="C265" s="23" t="s">
        <v>112</v>
      </c>
      <c r="D265" s="23" t="s">
        <v>29</v>
      </c>
      <c r="E265" s="24" t="n">
        <v>0.9</v>
      </c>
      <c r="F265" s="24" t="n">
        <v>2022</v>
      </c>
      <c r="G265" s="24" t="n">
        <v>275</v>
      </c>
      <c r="H265" s="24" t="n">
        <v>247.5</v>
      </c>
    </row>
    <row r="266" customFormat="false" ht="15.75" hidden="false" customHeight="true" outlineLevel="0" collapsed="false">
      <c r="A266" s="5" t="s">
        <v>134</v>
      </c>
      <c r="B266" s="5" t="s">
        <v>111</v>
      </c>
      <c r="C266" s="5" t="s">
        <v>112</v>
      </c>
      <c r="D266" s="5" t="s">
        <v>29</v>
      </c>
      <c r="E266" s="6" t="n">
        <v>0.9</v>
      </c>
      <c r="F266" s="6" t="n">
        <v>2023</v>
      </c>
      <c r="G266" s="6" t="n">
        <v>305</v>
      </c>
      <c r="H266" s="6" t="n">
        <v>274.5</v>
      </c>
    </row>
    <row r="267" customFormat="false" ht="15.75" hidden="false" customHeight="true" outlineLevel="0" collapsed="false">
      <c r="A267" s="23" t="s">
        <v>134</v>
      </c>
      <c r="B267" s="23" t="s">
        <v>111</v>
      </c>
      <c r="C267" s="23" t="s">
        <v>112</v>
      </c>
      <c r="D267" s="23" t="s">
        <v>29</v>
      </c>
      <c r="E267" s="24" t="n">
        <v>0.9</v>
      </c>
      <c r="F267" s="24" t="n">
        <v>2024</v>
      </c>
      <c r="G267" s="24" t="n">
        <v>335</v>
      </c>
      <c r="H267" s="24" t="n">
        <v>301.5</v>
      </c>
    </row>
    <row r="268" customFormat="false" ht="15.75" hidden="false" customHeight="true" outlineLevel="0" collapsed="false">
      <c r="A268" s="5" t="s">
        <v>134</v>
      </c>
      <c r="B268" s="5" t="s">
        <v>111</v>
      </c>
      <c r="C268" s="5" t="s">
        <v>113</v>
      </c>
      <c r="D268" s="5" t="s">
        <v>22</v>
      </c>
      <c r="E268" s="6" t="n">
        <v>0.7</v>
      </c>
      <c r="F268" s="6" t="n">
        <v>2020</v>
      </c>
      <c r="G268" s="6" t="n">
        <v>85</v>
      </c>
      <c r="H268" s="6" t="n">
        <v>59.5</v>
      </c>
    </row>
    <row r="269" customFormat="false" ht="15.75" hidden="false" customHeight="true" outlineLevel="0" collapsed="false">
      <c r="A269" s="23" t="s">
        <v>134</v>
      </c>
      <c r="B269" s="23" t="s">
        <v>111</v>
      </c>
      <c r="C269" s="23" t="s">
        <v>113</v>
      </c>
      <c r="D269" s="23" t="s">
        <v>22</v>
      </c>
      <c r="E269" s="24" t="n">
        <v>0.7</v>
      </c>
      <c r="F269" s="24" t="n">
        <v>2021</v>
      </c>
      <c r="G269" s="24" t="n">
        <v>98</v>
      </c>
      <c r="H269" s="24" t="n">
        <v>68.6</v>
      </c>
    </row>
    <row r="270" customFormat="false" ht="15.75" hidden="false" customHeight="true" outlineLevel="0" collapsed="false">
      <c r="A270" s="5" t="s">
        <v>134</v>
      </c>
      <c r="B270" s="5" t="s">
        <v>111</v>
      </c>
      <c r="C270" s="5" t="s">
        <v>113</v>
      </c>
      <c r="D270" s="5" t="s">
        <v>22</v>
      </c>
      <c r="E270" s="6" t="n">
        <v>0.7</v>
      </c>
      <c r="F270" s="6" t="n">
        <v>2022</v>
      </c>
      <c r="G270" s="6" t="n">
        <v>112</v>
      </c>
      <c r="H270" s="6" t="n">
        <v>78.4</v>
      </c>
    </row>
    <row r="271" customFormat="false" ht="15.75" hidden="false" customHeight="true" outlineLevel="0" collapsed="false">
      <c r="A271" s="23" t="s">
        <v>134</v>
      </c>
      <c r="B271" s="23" t="s">
        <v>111</v>
      </c>
      <c r="C271" s="23" t="s">
        <v>113</v>
      </c>
      <c r="D271" s="23" t="s">
        <v>22</v>
      </c>
      <c r="E271" s="24" t="n">
        <v>0.7</v>
      </c>
      <c r="F271" s="24" t="n">
        <v>2023</v>
      </c>
      <c r="G271" s="24" t="n">
        <v>125</v>
      </c>
      <c r="H271" s="24" t="n">
        <v>87.5</v>
      </c>
    </row>
    <row r="272" customFormat="false" ht="15.75" hidden="false" customHeight="true" outlineLevel="0" collapsed="false">
      <c r="A272" s="5" t="s">
        <v>134</v>
      </c>
      <c r="B272" s="5" t="s">
        <v>111</v>
      </c>
      <c r="C272" s="5" t="s">
        <v>113</v>
      </c>
      <c r="D272" s="5" t="s">
        <v>22</v>
      </c>
      <c r="E272" s="6" t="n">
        <v>0.7</v>
      </c>
      <c r="F272" s="6" t="n">
        <v>2024</v>
      </c>
      <c r="G272" s="6" t="n">
        <v>140</v>
      </c>
      <c r="H272" s="6" t="n">
        <v>98</v>
      </c>
    </row>
    <row r="273" customFormat="false" ht="15.75" hidden="false" customHeight="true" outlineLevel="0" collapsed="false">
      <c r="A273" s="23" t="s">
        <v>134</v>
      </c>
      <c r="B273" s="23" t="s">
        <v>114</v>
      </c>
      <c r="C273" s="23" t="s">
        <v>115</v>
      </c>
      <c r="D273" s="23" t="s">
        <v>16</v>
      </c>
      <c r="E273" s="24" t="n">
        <v>1</v>
      </c>
      <c r="F273" s="24" t="n">
        <v>2020</v>
      </c>
      <c r="G273" s="24" t="n">
        <v>380</v>
      </c>
      <c r="H273" s="24" t="n">
        <v>380</v>
      </c>
    </row>
    <row r="274" customFormat="false" ht="15.75" hidden="false" customHeight="true" outlineLevel="0" collapsed="false">
      <c r="A274" s="5" t="s">
        <v>134</v>
      </c>
      <c r="B274" s="5" t="s">
        <v>114</v>
      </c>
      <c r="C274" s="5" t="s">
        <v>115</v>
      </c>
      <c r="D274" s="5" t="s">
        <v>16</v>
      </c>
      <c r="E274" s="6" t="n">
        <v>1</v>
      </c>
      <c r="F274" s="6" t="n">
        <v>2021</v>
      </c>
      <c r="G274" s="6" t="n">
        <v>420</v>
      </c>
      <c r="H274" s="6" t="n">
        <v>420</v>
      </c>
    </row>
    <row r="275" customFormat="false" ht="15.75" hidden="false" customHeight="true" outlineLevel="0" collapsed="false">
      <c r="A275" s="23" t="s">
        <v>134</v>
      </c>
      <c r="B275" s="23" t="s">
        <v>114</v>
      </c>
      <c r="C275" s="23" t="s">
        <v>115</v>
      </c>
      <c r="D275" s="23" t="s">
        <v>16</v>
      </c>
      <c r="E275" s="24" t="n">
        <v>1</v>
      </c>
      <c r="F275" s="24" t="n">
        <v>2022</v>
      </c>
      <c r="G275" s="24" t="n">
        <v>460</v>
      </c>
      <c r="H275" s="24" t="n">
        <v>460</v>
      </c>
    </row>
    <row r="276" customFormat="false" ht="15.75" hidden="false" customHeight="true" outlineLevel="0" collapsed="false">
      <c r="A276" s="5" t="s">
        <v>134</v>
      </c>
      <c r="B276" s="5" t="s">
        <v>114</v>
      </c>
      <c r="C276" s="5" t="s">
        <v>115</v>
      </c>
      <c r="D276" s="5" t="s">
        <v>16</v>
      </c>
      <c r="E276" s="6" t="n">
        <v>1</v>
      </c>
      <c r="F276" s="6" t="n">
        <v>2023</v>
      </c>
      <c r="G276" s="6" t="n">
        <v>500</v>
      </c>
      <c r="H276" s="6" t="n">
        <v>500</v>
      </c>
    </row>
    <row r="277" customFormat="false" ht="15.75" hidden="false" customHeight="true" outlineLevel="0" collapsed="false">
      <c r="A277" s="23" t="s">
        <v>134</v>
      </c>
      <c r="B277" s="23" t="s">
        <v>114</v>
      </c>
      <c r="C277" s="23" t="s">
        <v>115</v>
      </c>
      <c r="D277" s="23" t="s">
        <v>16</v>
      </c>
      <c r="E277" s="24" t="n">
        <v>1</v>
      </c>
      <c r="F277" s="24" t="n">
        <v>2024</v>
      </c>
      <c r="G277" s="24" t="n">
        <v>545</v>
      </c>
      <c r="H277" s="24" t="n">
        <v>545</v>
      </c>
    </row>
    <row r="278" customFormat="false" ht="15.75" hidden="false" customHeight="true" outlineLevel="0" collapsed="false">
      <c r="A278" s="5" t="s">
        <v>134</v>
      </c>
      <c r="B278" s="5" t="s">
        <v>114</v>
      </c>
      <c r="C278" s="5" t="s">
        <v>116</v>
      </c>
      <c r="D278" s="5" t="s">
        <v>20</v>
      </c>
      <c r="E278" s="6" t="n">
        <v>0.75</v>
      </c>
      <c r="F278" s="6" t="n">
        <v>2020</v>
      </c>
      <c r="G278" s="6" t="n">
        <v>110</v>
      </c>
      <c r="H278" s="6" t="n">
        <v>82.5</v>
      </c>
    </row>
    <row r="279" customFormat="false" ht="15.75" hidden="false" customHeight="true" outlineLevel="0" collapsed="false">
      <c r="A279" s="23" t="s">
        <v>134</v>
      </c>
      <c r="B279" s="23" t="s">
        <v>114</v>
      </c>
      <c r="C279" s="23" t="s">
        <v>116</v>
      </c>
      <c r="D279" s="23" t="s">
        <v>20</v>
      </c>
      <c r="E279" s="24" t="n">
        <v>0.75</v>
      </c>
      <c r="F279" s="24" t="n">
        <v>2021</v>
      </c>
      <c r="G279" s="24" t="n">
        <v>125</v>
      </c>
      <c r="H279" s="24" t="n">
        <v>93.8</v>
      </c>
    </row>
    <row r="280" customFormat="false" ht="15.75" hidden="false" customHeight="true" outlineLevel="0" collapsed="false">
      <c r="A280" s="5" t="s">
        <v>134</v>
      </c>
      <c r="B280" s="5" t="s">
        <v>114</v>
      </c>
      <c r="C280" s="5" t="s">
        <v>116</v>
      </c>
      <c r="D280" s="5" t="s">
        <v>20</v>
      </c>
      <c r="E280" s="6" t="n">
        <v>0.75</v>
      </c>
      <c r="F280" s="6" t="n">
        <v>2022</v>
      </c>
      <c r="G280" s="6" t="n">
        <v>140</v>
      </c>
      <c r="H280" s="6" t="n">
        <v>105</v>
      </c>
    </row>
    <row r="281" customFormat="false" ht="15.75" hidden="false" customHeight="true" outlineLevel="0" collapsed="false">
      <c r="A281" s="23" t="s">
        <v>134</v>
      </c>
      <c r="B281" s="23" t="s">
        <v>114</v>
      </c>
      <c r="C281" s="23" t="s">
        <v>116</v>
      </c>
      <c r="D281" s="23" t="s">
        <v>20</v>
      </c>
      <c r="E281" s="24" t="n">
        <v>0.75</v>
      </c>
      <c r="F281" s="24" t="n">
        <v>2023</v>
      </c>
      <c r="G281" s="24" t="n">
        <v>158</v>
      </c>
      <c r="H281" s="24" t="n">
        <v>118.5</v>
      </c>
    </row>
    <row r="282" customFormat="false" ht="15.75" hidden="false" customHeight="true" outlineLevel="0" collapsed="false">
      <c r="A282" s="5" t="s">
        <v>134</v>
      </c>
      <c r="B282" s="5" t="s">
        <v>114</v>
      </c>
      <c r="C282" s="5" t="s">
        <v>116</v>
      </c>
      <c r="D282" s="5" t="s">
        <v>20</v>
      </c>
      <c r="E282" s="6" t="n">
        <v>0.75</v>
      </c>
      <c r="F282" s="6" t="n">
        <v>2024</v>
      </c>
      <c r="G282" s="6" t="n">
        <v>175</v>
      </c>
      <c r="H282" s="6" t="n">
        <v>131.2</v>
      </c>
    </row>
    <row r="283" customFormat="false" ht="15.75" hidden="false" customHeight="true" outlineLevel="0" collapsed="false">
      <c r="A283" s="23" t="s">
        <v>134</v>
      </c>
      <c r="B283" s="23" t="s">
        <v>117</v>
      </c>
      <c r="C283" s="23" t="s">
        <v>118</v>
      </c>
      <c r="D283" s="23" t="s">
        <v>16</v>
      </c>
      <c r="E283" s="24" t="n">
        <v>1</v>
      </c>
      <c r="F283" s="24" t="n">
        <v>2020</v>
      </c>
      <c r="G283" s="24" t="n">
        <v>260</v>
      </c>
      <c r="H283" s="24" t="n">
        <v>260</v>
      </c>
    </row>
    <row r="284" customFormat="false" ht="15.75" hidden="false" customHeight="true" outlineLevel="0" collapsed="false">
      <c r="A284" s="5" t="s">
        <v>134</v>
      </c>
      <c r="B284" s="5" t="s">
        <v>117</v>
      </c>
      <c r="C284" s="5" t="s">
        <v>118</v>
      </c>
      <c r="D284" s="5" t="s">
        <v>16</v>
      </c>
      <c r="E284" s="6" t="n">
        <v>1</v>
      </c>
      <c r="F284" s="6" t="n">
        <v>2021</v>
      </c>
      <c r="G284" s="6" t="n">
        <v>290</v>
      </c>
      <c r="H284" s="6" t="n">
        <v>290</v>
      </c>
    </row>
    <row r="285" customFormat="false" ht="15.75" hidden="false" customHeight="true" outlineLevel="0" collapsed="false">
      <c r="A285" s="23" t="s">
        <v>134</v>
      </c>
      <c r="B285" s="23" t="s">
        <v>117</v>
      </c>
      <c r="C285" s="23" t="s">
        <v>118</v>
      </c>
      <c r="D285" s="23" t="s">
        <v>16</v>
      </c>
      <c r="E285" s="24" t="n">
        <v>1</v>
      </c>
      <c r="F285" s="24" t="n">
        <v>2022</v>
      </c>
      <c r="G285" s="24" t="n">
        <v>320</v>
      </c>
      <c r="H285" s="24" t="n">
        <v>320</v>
      </c>
    </row>
    <row r="286" customFormat="false" ht="15.75" hidden="false" customHeight="true" outlineLevel="0" collapsed="false">
      <c r="A286" s="5" t="s">
        <v>134</v>
      </c>
      <c r="B286" s="5" t="s">
        <v>117</v>
      </c>
      <c r="C286" s="5" t="s">
        <v>118</v>
      </c>
      <c r="D286" s="5" t="s">
        <v>16</v>
      </c>
      <c r="E286" s="6" t="n">
        <v>1</v>
      </c>
      <c r="F286" s="6" t="n">
        <v>2023</v>
      </c>
      <c r="G286" s="6" t="n">
        <v>352</v>
      </c>
      <c r="H286" s="6" t="n">
        <v>352</v>
      </c>
    </row>
    <row r="287" customFormat="false" ht="15.75" hidden="false" customHeight="true" outlineLevel="0" collapsed="false">
      <c r="A287" s="23" t="s">
        <v>134</v>
      </c>
      <c r="B287" s="23" t="s">
        <v>117</v>
      </c>
      <c r="C287" s="23" t="s">
        <v>118</v>
      </c>
      <c r="D287" s="23" t="s">
        <v>16</v>
      </c>
      <c r="E287" s="24" t="n">
        <v>1</v>
      </c>
      <c r="F287" s="24" t="n">
        <v>2024</v>
      </c>
      <c r="G287" s="24" t="n">
        <v>385</v>
      </c>
      <c r="H287" s="24" t="n">
        <v>385</v>
      </c>
    </row>
    <row r="288" customFormat="false" ht="15.75" hidden="false" customHeight="true" outlineLevel="0" collapsed="false">
      <c r="A288" s="5" t="s">
        <v>134</v>
      </c>
      <c r="B288" s="5" t="s">
        <v>117</v>
      </c>
      <c r="C288" s="5" t="s">
        <v>119</v>
      </c>
      <c r="D288" s="5" t="s">
        <v>31</v>
      </c>
      <c r="E288" s="6" t="n">
        <v>0.9</v>
      </c>
      <c r="F288" s="6" t="n">
        <v>2020</v>
      </c>
      <c r="G288" s="6" t="n">
        <v>140</v>
      </c>
      <c r="H288" s="6" t="n">
        <v>126</v>
      </c>
    </row>
    <row r="289" customFormat="false" ht="15.75" hidden="false" customHeight="true" outlineLevel="0" collapsed="false">
      <c r="A289" s="23" t="s">
        <v>134</v>
      </c>
      <c r="B289" s="23" t="s">
        <v>117</v>
      </c>
      <c r="C289" s="23" t="s">
        <v>119</v>
      </c>
      <c r="D289" s="23" t="s">
        <v>31</v>
      </c>
      <c r="E289" s="24" t="n">
        <v>0.9</v>
      </c>
      <c r="F289" s="24" t="n">
        <v>2021</v>
      </c>
      <c r="G289" s="24" t="n">
        <v>158</v>
      </c>
      <c r="H289" s="24" t="n">
        <v>142.2</v>
      </c>
    </row>
    <row r="290" customFormat="false" ht="15.75" hidden="false" customHeight="true" outlineLevel="0" collapsed="false">
      <c r="A290" s="5" t="s">
        <v>134</v>
      </c>
      <c r="B290" s="5" t="s">
        <v>117</v>
      </c>
      <c r="C290" s="5" t="s">
        <v>119</v>
      </c>
      <c r="D290" s="5" t="s">
        <v>31</v>
      </c>
      <c r="E290" s="6" t="n">
        <v>0.9</v>
      </c>
      <c r="F290" s="6" t="n">
        <v>2022</v>
      </c>
      <c r="G290" s="6" t="n">
        <v>175</v>
      </c>
      <c r="H290" s="6" t="n">
        <v>157.5</v>
      </c>
    </row>
    <row r="291" customFormat="false" ht="15.75" hidden="false" customHeight="true" outlineLevel="0" collapsed="false">
      <c r="A291" s="23" t="s">
        <v>134</v>
      </c>
      <c r="B291" s="23" t="s">
        <v>117</v>
      </c>
      <c r="C291" s="23" t="s">
        <v>119</v>
      </c>
      <c r="D291" s="23" t="s">
        <v>31</v>
      </c>
      <c r="E291" s="24" t="n">
        <v>0.9</v>
      </c>
      <c r="F291" s="24" t="n">
        <v>2023</v>
      </c>
      <c r="G291" s="24" t="n">
        <v>195</v>
      </c>
      <c r="H291" s="24" t="n">
        <v>175.5</v>
      </c>
    </row>
    <row r="292" customFormat="false" ht="15.75" hidden="false" customHeight="true" outlineLevel="0" collapsed="false">
      <c r="A292" s="5" t="s">
        <v>134</v>
      </c>
      <c r="B292" s="5" t="s">
        <v>117</v>
      </c>
      <c r="C292" s="5" t="s">
        <v>119</v>
      </c>
      <c r="D292" s="5" t="s">
        <v>31</v>
      </c>
      <c r="E292" s="6" t="n">
        <v>0.9</v>
      </c>
      <c r="F292" s="6" t="n">
        <v>2024</v>
      </c>
      <c r="G292" s="6" t="n">
        <v>215</v>
      </c>
      <c r="H292" s="6" t="n">
        <v>193.5</v>
      </c>
    </row>
    <row r="293" customFormat="false" ht="15.75" hidden="false" customHeight="true" outlineLevel="0" collapsed="false">
      <c r="A293" s="23" t="s">
        <v>134</v>
      </c>
      <c r="B293" s="23" t="s">
        <v>120</v>
      </c>
      <c r="C293" s="23" t="s">
        <v>121</v>
      </c>
      <c r="D293" s="23" t="s">
        <v>22</v>
      </c>
      <c r="E293" s="24" t="n">
        <v>0.8</v>
      </c>
      <c r="F293" s="24" t="n">
        <v>2020</v>
      </c>
      <c r="G293" s="24" t="n">
        <v>75</v>
      </c>
      <c r="H293" s="24" t="n">
        <v>60</v>
      </c>
    </row>
    <row r="294" customFormat="false" ht="15.75" hidden="false" customHeight="true" outlineLevel="0" collapsed="false">
      <c r="A294" s="5" t="s">
        <v>134</v>
      </c>
      <c r="B294" s="5" t="s">
        <v>120</v>
      </c>
      <c r="C294" s="5" t="s">
        <v>121</v>
      </c>
      <c r="D294" s="5" t="s">
        <v>22</v>
      </c>
      <c r="E294" s="6" t="n">
        <v>0.8</v>
      </c>
      <c r="F294" s="6" t="n">
        <v>2021</v>
      </c>
      <c r="G294" s="6" t="n">
        <v>88</v>
      </c>
      <c r="H294" s="6" t="n">
        <v>70.4</v>
      </c>
    </row>
    <row r="295" customFormat="false" ht="15.75" hidden="false" customHeight="true" outlineLevel="0" collapsed="false">
      <c r="A295" s="23" t="s">
        <v>134</v>
      </c>
      <c r="B295" s="23" t="s">
        <v>120</v>
      </c>
      <c r="C295" s="23" t="s">
        <v>121</v>
      </c>
      <c r="D295" s="23" t="s">
        <v>22</v>
      </c>
      <c r="E295" s="24" t="n">
        <v>0.8</v>
      </c>
      <c r="F295" s="24" t="n">
        <v>2022</v>
      </c>
      <c r="G295" s="24" t="n">
        <v>100</v>
      </c>
      <c r="H295" s="24" t="n">
        <v>80</v>
      </c>
    </row>
    <row r="296" customFormat="false" ht="15.75" hidden="false" customHeight="true" outlineLevel="0" collapsed="false">
      <c r="A296" s="5" t="s">
        <v>134</v>
      </c>
      <c r="B296" s="5" t="s">
        <v>120</v>
      </c>
      <c r="C296" s="5" t="s">
        <v>121</v>
      </c>
      <c r="D296" s="5" t="s">
        <v>22</v>
      </c>
      <c r="E296" s="6" t="n">
        <v>0.8</v>
      </c>
      <c r="F296" s="6" t="n">
        <v>2023</v>
      </c>
      <c r="G296" s="6" t="n">
        <v>115</v>
      </c>
      <c r="H296" s="6" t="n">
        <v>92</v>
      </c>
    </row>
    <row r="297" customFormat="false" ht="15.75" hidden="false" customHeight="true" outlineLevel="0" collapsed="false">
      <c r="A297" s="23" t="s">
        <v>134</v>
      </c>
      <c r="B297" s="23" t="s">
        <v>120</v>
      </c>
      <c r="C297" s="23" t="s">
        <v>121</v>
      </c>
      <c r="D297" s="23" t="s">
        <v>22</v>
      </c>
      <c r="E297" s="24" t="n">
        <v>0.8</v>
      </c>
      <c r="F297" s="24" t="n">
        <v>2024</v>
      </c>
      <c r="G297" s="24" t="n">
        <v>128</v>
      </c>
      <c r="H297" s="24" t="n">
        <v>102.4</v>
      </c>
    </row>
    <row r="298" customFormat="false" ht="15.75" hidden="false" customHeight="true" outlineLevel="0" collapsed="false">
      <c r="A298" s="5" t="s">
        <v>134</v>
      </c>
      <c r="B298" s="5" t="s">
        <v>120</v>
      </c>
      <c r="C298" s="5" t="s">
        <v>122</v>
      </c>
      <c r="D298" s="5" t="s">
        <v>18</v>
      </c>
      <c r="E298" s="6" t="n">
        <v>0.75</v>
      </c>
      <c r="F298" s="6" t="n">
        <v>2020</v>
      </c>
      <c r="G298" s="6" t="n">
        <v>60</v>
      </c>
      <c r="H298" s="6" t="n">
        <v>45</v>
      </c>
    </row>
    <row r="299" customFormat="false" ht="15.75" hidden="false" customHeight="true" outlineLevel="0" collapsed="false">
      <c r="A299" s="23" t="s">
        <v>134</v>
      </c>
      <c r="B299" s="23" t="s">
        <v>120</v>
      </c>
      <c r="C299" s="23" t="s">
        <v>122</v>
      </c>
      <c r="D299" s="23" t="s">
        <v>18</v>
      </c>
      <c r="E299" s="24" t="n">
        <v>0.75</v>
      </c>
      <c r="F299" s="24" t="n">
        <v>2021</v>
      </c>
      <c r="G299" s="24" t="n">
        <v>70</v>
      </c>
      <c r="H299" s="24" t="n">
        <v>52.5</v>
      </c>
    </row>
    <row r="300" customFormat="false" ht="15.75" hidden="false" customHeight="true" outlineLevel="0" collapsed="false">
      <c r="A300" s="5" t="s">
        <v>134</v>
      </c>
      <c r="B300" s="5" t="s">
        <v>120</v>
      </c>
      <c r="C300" s="5" t="s">
        <v>122</v>
      </c>
      <c r="D300" s="5" t="s">
        <v>18</v>
      </c>
      <c r="E300" s="6" t="n">
        <v>0.75</v>
      </c>
      <c r="F300" s="6" t="n">
        <v>2022</v>
      </c>
      <c r="G300" s="6" t="n">
        <v>80</v>
      </c>
      <c r="H300" s="6" t="n">
        <v>60</v>
      </c>
    </row>
    <row r="301" customFormat="false" ht="15.75" hidden="false" customHeight="true" outlineLevel="0" collapsed="false">
      <c r="A301" s="23" t="s">
        <v>134</v>
      </c>
      <c r="B301" s="23" t="s">
        <v>120</v>
      </c>
      <c r="C301" s="23" t="s">
        <v>122</v>
      </c>
      <c r="D301" s="23" t="s">
        <v>18</v>
      </c>
      <c r="E301" s="24" t="n">
        <v>0.75</v>
      </c>
      <c r="F301" s="24" t="n">
        <v>2023</v>
      </c>
      <c r="G301" s="24" t="n">
        <v>92</v>
      </c>
      <c r="H301" s="24" t="n">
        <v>69</v>
      </c>
    </row>
    <row r="302" customFormat="false" ht="15.75" hidden="false" customHeight="true" outlineLevel="0" collapsed="false">
      <c r="A302" s="5" t="s">
        <v>134</v>
      </c>
      <c r="B302" s="5" t="s">
        <v>120</v>
      </c>
      <c r="C302" s="5" t="s">
        <v>122</v>
      </c>
      <c r="D302" s="5" t="s">
        <v>18</v>
      </c>
      <c r="E302" s="6" t="n">
        <v>0.75</v>
      </c>
      <c r="F302" s="6" t="n">
        <v>2024</v>
      </c>
      <c r="G302" s="6" t="n">
        <v>105</v>
      </c>
      <c r="H302" s="6" t="n">
        <v>78.8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4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26" t="s">
        <v>135</v>
      </c>
      <c r="B1" s="26"/>
      <c r="C1" s="26"/>
      <c r="D1" s="26"/>
      <c r="E1" s="26"/>
      <c r="F1" s="26"/>
      <c r="G1" s="26"/>
    </row>
    <row r="2" customFormat="false" ht="15" hidden="false" customHeight="false" outlineLevel="0" collapsed="false">
      <c r="A2" s="27" t="s">
        <v>136</v>
      </c>
      <c r="B2" s="27" t="s">
        <v>5</v>
      </c>
      <c r="C2" s="27" t="s">
        <v>6</v>
      </c>
      <c r="D2" s="27" t="s">
        <v>7</v>
      </c>
      <c r="E2" s="27" t="s">
        <v>8</v>
      </c>
      <c r="F2" s="27" t="s">
        <v>9</v>
      </c>
      <c r="G2" s="27" t="s">
        <v>137</v>
      </c>
    </row>
    <row r="3" customFormat="false" ht="18" hidden="false" customHeight="true" outlineLevel="0" collapsed="false">
      <c r="A3" s="28" t="s">
        <v>138</v>
      </c>
      <c r="B3" s="29" t="n">
        <v>24500</v>
      </c>
      <c r="C3" s="29" t="n">
        <v>25800</v>
      </c>
      <c r="D3" s="29" t="n">
        <v>27200</v>
      </c>
      <c r="E3" s="29" t="n">
        <v>28700</v>
      </c>
      <c r="F3" s="29" t="n">
        <v>30300</v>
      </c>
      <c r="G3" s="28" t="s">
        <v>139</v>
      </c>
    </row>
    <row r="4" customFormat="false" ht="18" hidden="false" customHeight="true" outlineLevel="0" collapsed="false">
      <c r="A4" s="5" t="s">
        <v>140</v>
      </c>
      <c r="B4" s="6" t="n">
        <v>-2.4</v>
      </c>
      <c r="C4" s="6" t="n">
        <v>3.3</v>
      </c>
      <c r="D4" s="6" t="n">
        <v>3.8</v>
      </c>
      <c r="E4" s="6" t="n">
        <v>4</v>
      </c>
      <c r="F4" s="6" t="n">
        <v>4.3</v>
      </c>
      <c r="G4" s="5" t="s">
        <v>141</v>
      </c>
    </row>
    <row r="5" customFormat="false" ht="18" hidden="false" customHeight="true" outlineLevel="0" collapsed="false">
      <c r="A5" s="28" t="s">
        <v>142</v>
      </c>
      <c r="B5" s="29" t="n">
        <v>5200</v>
      </c>
      <c r="C5" s="29" t="n">
        <v>5500</v>
      </c>
      <c r="D5" s="29" t="n">
        <v>5850</v>
      </c>
      <c r="E5" s="29" t="n">
        <v>6200</v>
      </c>
      <c r="F5" s="29" t="n">
        <v>6600</v>
      </c>
      <c r="G5" s="28" t="s">
        <v>143</v>
      </c>
    </row>
    <row r="6" customFormat="false" ht="18" hidden="false" customHeight="true" outlineLevel="0" collapsed="false">
      <c r="A6" s="5" t="s">
        <v>144</v>
      </c>
      <c r="B6" s="6" t="n">
        <v>2.8</v>
      </c>
      <c r="C6" s="6" t="n">
        <v>2.3</v>
      </c>
      <c r="D6" s="6" t="n">
        <v>6.3</v>
      </c>
      <c r="E6" s="6" t="n">
        <v>7.4</v>
      </c>
      <c r="F6" s="6" t="n">
        <v>5.8</v>
      </c>
      <c r="G6" s="5" t="s">
        <v>139</v>
      </c>
    </row>
    <row r="7" customFormat="false" ht="18" hidden="false" customHeight="true" outlineLevel="0" collapsed="false">
      <c r="A7" s="28" t="s">
        <v>145</v>
      </c>
      <c r="B7" s="29" t="n">
        <v>1570</v>
      </c>
      <c r="C7" s="29" t="n">
        <v>1620</v>
      </c>
      <c r="D7" s="29" t="n">
        <v>1690</v>
      </c>
      <c r="E7" s="29" t="n">
        <v>1755</v>
      </c>
      <c r="F7" s="29" t="n">
        <v>1830</v>
      </c>
      <c r="G7" s="28" t="s">
        <v>102</v>
      </c>
    </row>
    <row r="8" customFormat="false" ht="18" hidden="false" customHeight="true" outlineLevel="0" collapsed="false">
      <c r="A8" s="5" t="s">
        <v>146</v>
      </c>
      <c r="B8" s="6" t="n">
        <v>46.2</v>
      </c>
      <c r="C8" s="6" t="n">
        <v>46.8</v>
      </c>
      <c r="D8" s="6" t="n">
        <v>43.5</v>
      </c>
      <c r="E8" s="6" t="n">
        <v>42.1</v>
      </c>
      <c r="F8" s="6" t="n">
        <v>41</v>
      </c>
      <c r="G8" s="5" t="s">
        <v>147</v>
      </c>
    </row>
    <row r="9" customFormat="false" ht="18" hidden="false" customHeight="true" outlineLevel="0" collapsed="false">
      <c r="A9" s="28" t="s">
        <v>148</v>
      </c>
      <c r="B9" s="29" t="n">
        <v>0.8</v>
      </c>
      <c r="C9" s="29" t="n">
        <v>0.85</v>
      </c>
      <c r="D9" s="29" t="n">
        <v>0.9</v>
      </c>
      <c r="E9" s="29" t="n">
        <v>0.95</v>
      </c>
      <c r="F9" s="29" t="n">
        <v>1</v>
      </c>
      <c r="G9" s="28" t="s">
        <v>149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4" min="3" style="0" width="45"/>
  </cols>
  <sheetData>
    <row r="1" customFormat="false" ht="34.5" hidden="false" customHeight="true" outlineLevel="0" collapsed="false">
      <c r="A1" s="30" t="s">
        <v>150</v>
      </c>
      <c r="B1" s="30"/>
      <c r="C1" s="30"/>
      <c r="D1" s="30"/>
    </row>
    <row r="3" customFormat="false" ht="45" hidden="false" customHeight="true" outlineLevel="0" collapsed="false">
      <c r="A3" s="31" t="s">
        <v>151</v>
      </c>
      <c r="B3" s="32" t="s">
        <v>152</v>
      </c>
      <c r="C3" s="33" t="s">
        <v>153</v>
      </c>
      <c r="D3" s="33"/>
    </row>
    <row r="5" customFormat="false" ht="45" hidden="false" customHeight="true" outlineLevel="0" collapsed="false">
      <c r="A5" s="31" t="s">
        <v>154</v>
      </c>
      <c r="B5" s="32" t="s">
        <v>155</v>
      </c>
      <c r="C5" s="33" t="s">
        <v>156</v>
      </c>
      <c r="D5" s="33"/>
    </row>
    <row r="7" customFormat="false" ht="45" hidden="false" customHeight="true" outlineLevel="0" collapsed="false">
      <c r="A7" s="31" t="s">
        <v>157</v>
      </c>
      <c r="B7" s="32" t="s">
        <v>158</v>
      </c>
      <c r="C7" s="33" t="s">
        <v>159</v>
      </c>
      <c r="D7" s="33"/>
    </row>
    <row r="9" customFormat="false" ht="45" hidden="false" customHeight="true" outlineLevel="0" collapsed="false">
      <c r="A9" s="31" t="s">
        <v>160</v>
      </c>
      <c r="B9" s="32" t="s">
        <v>161</v>
      </c>
      <c r="C9" s="33" t="s">
        <v>162</v>
      </c>
      <c r="D9" s="33"/>
    </row>
    <row r="11" customFormat="false" ht="45" hidden="false" customHeight="true" outlineLevel="0" collapsed="false">
      <c r="A11" s="31" t="s">
        <v>163</v>
      </c>
      <c r="B11" s="32" t="s">
        <v>164</v>
      </c>
      <c r="C11" s="33" t="s">
        <v>165</v>
      </c>
      <c r="D11" s="33"/>
    </row>
    <row r="13" customFormat="false" ht="45" hidden="false" customHeight="true" outlineLevel="0" collapsed="false">
      <c r="A13" s="31" t="s">
        <v>166</v>
      </c>
      <c r="B13" s="32" t="s">
        <v>167</v>
      </c>
      <c r="C13" s="33" t="s">
        <v>168</v>
      </c>
      <c r="D13" s="33"/>
    </row>
  </sheetData>
  <mergeCells count="7">
    <mergeCell ref="A1:D1"/>
    <mergeCell ref="C3:D3"/>
    <mergeCell ref="C5:D5"/>
    <mergeCell ref="C7:D7"/>
    <mergeCell ref="C9:D9"/>
    <mergeCell ref="C11:D11"/>
    <mergeCell ref="C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2026-03-13T14:35:11Z</dcterms:created>
  <dc:creator>openpyxl</dc:creator>
  <dc:description/>
  <dc:language>en-US</dc:language>
  <cp:lastModifiedBy/>
  <dcterms:modified xsi:type="dcterms:W3CDTF">2026-03-13T14:35:11Z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